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Comment Tracker" sheetId="2" state="visible" r:id="rId4"/>
    <sheet name="Fee &amp; MFN Sensitivity" sheetId="3" state="visible" r:id="rId5"/>
    <sheet name="MFN Exposure Map" sheetId="4" state="visible" r:id="rId6"/>
    <sheet name="Removal Threshold Math" sheetId="5" state="visible" r:id="rId7"/>
    <sheet name="Precedent Matrix" sheetId="6" state="visible" r:id="rId8"/>
    <sheet name="Discrepancies &amp; Open Items" sheetId="7" state="visible" r:id="rId9"/>
  </sheets>
  <definedNames>
    <definedName function="false" hidden="true" localSheetId="1" name="_xlnm._FilterDatabase" vbProcedure="false">'Comment Tracker'!$A$1:$T$33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<sst xmlns="http://schemas.openxmlformats.org/spreadsheetml/2006/main" count="1046" uniqueCount="805">
  <si>
    <t xml:space="preserve">Thornfield Capital Partners Fund IV, L.P. — Meridian STRS Comment Tracker</t>
  </si>
  <si>
    <t xml:space="preserve">Privileged &amp; Confidential — Attorney-Client Communication / Attorney Work Product. Prepared by Ashbridge &amp; Lowe LLP for the General Partner. Draft for M. Thornfield review.</t>
  </si>
  <si>
    <t xml:space="preserve">Source documents: Meridian STRS LPA markup (23 comments) and side letter request (Haverstraw Pierce, Apr. 22, 2025); executed Fund IV LPA (Mar. 15, 2025); internal term sheet &amp; fee sensitivity; Fund III side letter tracker; Fund IV first-close side letter summary; MPRSTA excerpts; M. Thornfield email (Apr. 24, 2025).</t>
  </si>
  <si>
    <t xml:space="preserve">Key dates</t>
  </si>
  <si>
    <t xml:space="preserve">LP markup &amp; side letter received</t>
  </si>
  <si>
    <t xml:space="preserve">April 22, 2025</t>
  </si>
  <si>
    <t xml:space="preserve">Principal call (M. Thornfield / S. Beaulieu)</t>
  </si>
  <si>
    <t xml:space="preserve">April 28-29, 2025</t>
  </si>
  <si>
    <t xml:space="preserve">A&amp;L / M. Thornfield strategy call</t>
  </si>
  <si>
    <t xml:space="preserve">May 5-6, 2025</t>
  </si>
  <si>
    <t xml:space="preserve">GP response due to Haverstraw Pierce</t>
  </si>
  <si>
    <t xml:space="preserve">May 9, 2025</t>
  </si>
  <si>
    <t xml:space="preserve">Target second close</t>
  </si>
  <si>
    <t xml:space="preserve">June 30, 2025</t>
  </si>
  <si>
    <t xml:space="preserve">Disposition count</t>
  </si>
  <si>
    <t xml:space="preserve">Disposition</t>
  </si>
  <si>
    <t xml:space="preserve">LPA markup comments (#1-23)</t>
  </si>
  <si>
    <t xml:space="preserve">Side-letter-only items</t>
  </si>
  <si>
    <t xml:space="preserve">Total</t>
  </si>
  <si>
    <t xml:space="preserve">Accept</t>
  </si>
  <si>
    <t xml:space="preserve">Accept w/ Modifications</t>
  </si>
  <si>
    <t xml:space="preserve">Compromise</t>
  </si>
  <si>
    <t xml:space="preserve">Reject</t>
  </si>
  <si>
    <t xml:space="preserve">Hold - Verify</t>
  </si>
  <si>
    <t xml:space="preserve">GP red lines (no movement)</t>
  </si>
  <si>
    <t xml:space="preserve">#18 No-fault removal threshold stays at 75%</t>
  </si>
  <si>
    <t xml:space="preserve">#1/#6 Carried interest stays at 20% (fund-wide and by side letter)</t>
  </si>
  <si>
    <t xml:space="preserve">#7 Clawback stays net of 45% Assumed Tax Rate; no uncapped guarantees</t>
  </si>
  <si>
    <t xml:space="preserve">#13 Whole-letter MFN (Single Side Letter Requirement) retained</t>
  </si>
  <si>
    <t xml:space="preserve">#12 No disclosure of identities of LPs introduced by Calderbank</t>
  </si>
  <si>
    <t xml:space="preserve">#5 No ROFO; no override of LPAC-approved Co-Investment Allocation Policy</t>
  </si>
  <si>
    <t xml:space="preserve">Principal tradeable gives</t>
  </si>
  <si>
    <t xml:space="preserve">LPAC seat (side letter; excluded from MFN)</t>
  </si>
  <si>
    <t xml:space="preserve">FOIA/MORA carve-out with notice-and-consult mirroring MPRSTA §24-51-210(b)</t>
  </si>
  <si>
    <t xml:space="preserve">Excuse rights for the four IPS sectors (side letter; 15% cap)</t>
  </si>
  <si>
    <t xml:space="preserve">Pro-rata co-investment on first-close terms (&gt;$50M; 6.94%)</t>
  </si>
  <si>
    <t xml:space="preserve">30% clawback escrow (Vandermeer precedent)</t>
  </si>
  <si>
    <t xml:space="preserve">Transfer consent not unreasonably withheld; sovereign immunity reservation</t>
  </si>
  <si>
    <t xml:space="preserve">MPRSTA data package; sub-line transparency; annual ESG report; investor day (best efforts)</t>
  </si>
  <si>
    <t xml:space="preserve">Reserved (M. Thornfield approval only): 1.90% Investment Period fee; floor 1.85%</t>
  </si>
  <si>
    <t xml:space="preserve">ID</t>
  </si>
  <si>
    <t xml:space="preserve">Source</t>
  </si>
  <si>
    <t xml:space="preserve">LP Reference</t>
  </si>
  <si>
    <t xml:space="preserve">LPA Section(s)</t>
  </si>
  <si>
    <t xml:space="preserve">Related Provisions</t>
  </si>
  <si>
    <t xml:space="preserve">Topic</t>
  </si>
  <si>
    <t xml:space="preserve">LP Request (summary)</t>
  </si>
  <si>
    <t xml:space="preserve">Base LPA / Current Position</t>
  </si>
  <si>
    <t xml:space="preserve">Precedent (Fund III / Fund IV First Close / Statute)</t>
  </si>
  <si>
    <t xml:space="preserve">GP Principal Guidance</t>
  </si>
  <si>
    <t xml:space="preserve">MFN / Economic / Precedent Risk</t>
  </si>
  <si>
    <t xml:space="preserve">Recommendation (detail)</t>
  </si>
  <si>
    <t xml:space="preserve">Proposed GP Response / Counter-Drafting</t>
  </si>
  <si>
    <t xml:space="preserve">Fallback / Negotiating Room</t>
  </si>
  <si>
    <t xml:space="preserve">Instrument</t>
  </si>
  <si>
    <t xml:space="preserve">Priority</t>
  </si>
  <si>
    <t xml:space="preserve">Owner</t>
  </si>
  <si>
    <t xml:space="preserve">Status</t>
  </si>
  <si>
    <t xml:space="preserve">A&amp;L Notes</t>
  </si>
  <si>
    <t xml:space="preserve">1</t>
  </si>
  <si>
    <t xml:space="preserve">LPA Markup</t>
  </si>
  <si>
    <t xml:space="preserve">Comment #1</t>
  </si>
  <si>
    <t xml:space="preserve">§1.1 “Carried Interest” / “Carried Interest Percentage”</t>
  </si>
  <si>
    <t xml:space="preserve">Comments #6, #7; SL §16.2</t>
  </si>
  <si>
    <t xml:space="preserve">Carried interest (20% to 15%)</t>
  </si>
  <si>
    <t xml:space="preserve">Reduce carried interest from 20% to 15% of Net Profits (LP basis: “market compression; increased commitment”). Side letter §16.2 seeks the same 15% rate for Meridian’s interest only.</t>
  </si>
  <si>
    <t xml:space="preserve">20% carry, 8% compounded preferred return, 80/20 GP catch-up to 20% (§6.2(c)), whole-fund waterfall.</t>
  </si>
  <si>
    <t xml:space="preserve">No carry reduction in any of four Thornfield vintages. Fund III: none. Fund IV first close: all 14 LPs ($980M) at 20%.</t>
  </si>
  <si>
    <t xml:space="preserve">M. Thornfield: would rather give a modest fee concession than touch carry (team signalling; waterfall complexity).</t>
  </si>
  <si>
    <t xml:space="preserve">As marked in the LPA the cut is fund-wide (every LP at 15%). If granted by side letter it would be the firm’s first carry concession and MFN-electable by up to 4 first-close LPs ($600M). Illustratively, 5 points of carry = $6.25M per 1.0x net profit on Meridian’s $125M alone. Markup does not conform §6.2(c) catch-up (still 80/20 to 20%) or the “Catch-Up” definition, so the waterfall would be internally inconsistent.</t>
  </si>
  <si>
    <t xml:space="preserve">Strike the §1.1, §6.2(d) and §6.3(a) changes. The 20%/8%/80-20 structure is firm-wide across all four vintages and was accepted by all 14 first-close LPs; the GP will not modify it in the LPA or by side letter.</t>
  </si>
  <si>
    <t xml:space="preserve">None on carry. If an economic gesture is ultimately required, it should be confined to the management fee (see #3) per M. Thornfield.</t>
  </si>
  <si>
    <t xml:space="preserve">No change</t>
  </si>
  <si>
    <t xml:space="preserve">High - red line</t>
  </si>
  <si>
    <t xml:space="preserve">M. Thornfield (decision); A&amp;L</t>
  </si>
  <si>
    <t xml:space="preserve">Open</t>
  </si>
  <si>
    <t xml:space="preserve">2</t>
  </si>
  <si>
    <t xml:space="preserve">Comment #2</t>
  </si>
  <si>
    <t xml:space="preserve">§1.1 “Key Person”; Exhibit D</t>
  </si>
  <si>
    <t xml:space="preserve">Comment #17; SL §13</t>
  </si>
  <si>
    <t xml:space="preserve">Key Persons - add Osei and Marchetti</t>
  </si>
  <si>
    <t xml:space="preserve">Add Viktor Osei (Head of Healthcare) and Lydia Marchetti (Head of Industrials) as Key Persons; amend Exhibit D.</t>
  </si>
  <si>
    <t xml:space="preserve">Key Persons are Marcus Thornfield and Serena Hayworth only (Exhibit D: “no other individuals are designated”).</t>
  </si>
  <si>
    <t xml:space="preserve">No Key Person modification for any first-close LP or in Fund III.</t>
  </si>
  <si>
    <t xml:space="preserve">M. Thornfield: flattering, but wants the weakening effect analysed.</t>
  </si>
  <si>
    <t xml:space="preserve">Only meaningful together with the “any two of four” trigger in #17, which dilutes LP protection (see #17). Fund-wide LPA amendment.</t>
  </si>
  <si>
    <t xml:space="preserve">Reject as drafted (linked to #17)</t>
  </si>
  <si>
    <t xml:space="preserve">Retain the definition and Exhibit D. Address sector-head continuity through side-letter notification rights (see #17).</t>
  </si>
  <si>
    <t xml:space="preserve">See #17 fallback (supplemental trigger if both sector heads depart, as a fund-wide change, at GP’s election).</t>
  </si>
  <si>
    <t xml:space="preserve">Side letter (notification only)</t>
  </si>
  <si>
    <t xml:space="preserve">Medium</t>
  </si>
  <si>
    <t xml:space="preserve">A&amp;L; GP decision</t>
  </si>
  <si>
    <t xml:space="preserve">3</t>
  </si>
  <si>
    <t xml:space="preserve">Comment #3</t>
  </si>
  <si>
    <t xml:space="preserve">§1.1 “Management Fee”</t>
  </si>
  <si>
    <t xml:space="preserve">Comment #9; SL §16.1</t>
  </si>
  <si>
    <t xml:space="preserve">Management fee (2.0% to 1.75% during the Investment Period)</t>
  </si>
  <si>
    <t xml:space="preserve">Reduce the Investment Period fee from 2.0% to 1.75% of Aggregate Commitments (LP basis: “fee compression; loyalty discount”). Side letter §16.1 also reduces the post-Investment Period fee from 1.5% to 1.25%, which is not in the LPA markup.</t>
  </si>
  <si>
    <t xml:space="preserve">2.0% of Aggregate Commitments during the Investment Period; 1.5% of Invested Capital after it (§7.1).</t>
  </si>
  <si>
    <t xml:space="preserve">Fund IV first close: no discounts (Osprey at $200M and Great Lakes TRS at $125M both pay 2.0%). Fund III: Osprey 1.85% ($150M); Eastbridge 1.90% ($125M); Pinnacle 1.90% ($100M); Cornerstone and Ridgemont 1.90% via MFN; Meridian 2.0% ($75M).</t>
  </si>
  <si>
    <t xml:space="preserve">M. Thornfield: reluctant to go below the Fund III 1.85% floor on a smaller commitment; open to a modest fee concession before carry, but only after the MFN exposure is understood. Term sheet §7.1: below 1.85% should be strongly resisted.</t>
  </si>
  <si>
    <t xml:space="preserve">Ask is 25bp, not the 15bp modelled in the internal term sheet. Direct cost: $312,500/yr, or $1.875M over the 6-year Investment Period, plus about $1.11M post-Investment Period if 1.25% were accepted. MFN cascade at 25bp on $600M of eligible first-close commitments: $1.5M/yr ($9.0M over the Investment Period). If left in the LPA it is fund-wide: about $4.41M/yr ($26.5M) on $1.764B of LP commitments at target.</t>
  </si>
  <si>
    <t xml:space="preserve">Reject as drafted; reserve compromise</t>
  </si>
  <si>
    <t xml:space="preserve">Strike the LPA changes; fees stay at 2.0%/1.5%. Note that no first-close LP received a discount, including the $200M anchor and a $125M public pension.</t>
  </si>
  <si>
    <t xml:space="preserve">Only with M. Thornfield’s prior approval, and only in a package where Meridian withdraws #1/#6, #10/SL §14, #13, #18 and the gross-up in #7: a side-letter rate of 1.90% during the Investment Period (Eastbridge’s Fund III rate on an identical $125M commitment), 1.50% post-Investment Period unchanged, whole-letter MFN preserved. Absolute floor 1.85%. The 10bp cost is $125K/yr direct plus up to $600K/yr cascade.</t>
  </si>
  <si>
    <t xml:space="preserve">Side letter only (if any concession)</t>
  </si>
  <si>
    <t xml:space="preserve">High</t>
  </si>
  <si>
    <t xml:space="preserve">4</t>
  </si>
  <si>
    <t xml:space="preserve">Comment #4</t>
  </si>
  <si>
    <t xml:space="preserve">§3.6(a)(iii), §3.6(e)</t>
  </si>
  <si>
    <t xml:space="preserve">Comment #14; SL §8</t>
  </si>
  <si>
    <t xml:space="preserve">Excuse rights based on the investment policy statement</t>
  </si>
  <si>
    <t xml:space="preserve">Add an excuse right for investments inconsistent with an LP’s board-adopted investment policy statement (IPS), naming the tobacco, firearms/ammunition, thermal coal and private prison sectors. Delete the GP protection in §3.6(e) that internal policies are not grounds for excuse. Name Meridian in the LPA. Side letter §8 uses a broader test (more than 10% of revenue) and broader categories (weapons systems, coal-fired power and coal transport, immigration and juvenile detention, services to facilities), plus a unilateral right to add sectors (§8.6).</t>
  </si>
  <si>
    <t xml:space="preserve">Excuse is limited to legal/regulatory grounds (§3.6(a)). §3.6(e) expressly excludes internal policies and ESG or sector-exclusion lists.</t>
  </si>
  <si>
    <t xml:space="preserve">Fund IV first close (all by side letter): Pinnacle (tobacco, firearms); Northvale (fossil fuels, private prisons); Blackthorn (tobacco); Vandermeer (controversial weapons, thermal coal). Fund III: Grandview (tobacco/firearms, 15 business days’ advance notice); Sterling (fossil fuels). The Fund III tracker shows Meridian had no excuse right in Fund III; confirm against M. Thornfield’s recollection.</t>
  </si>
  <si>
    <t xml:space="preserve">M. Thornfield: the IPS restrictions are real; open to discussion.</t>
  </si>
  <si>
    <t xml:space="preserve">An LPA change gives every LP a policy-based excuse right and removes §3.6(e). A side-letter excuse right is policy-based, not legal or regulatory, so §8.7(d)(i) does not exclude it from MFN. Economic value to electing LPs is low and comparable rights already exist. Reallocation and concentration-limit pressure (term sheet §7.9).</t>
  </si>
  <si>
    <t xml:space="preserve">Accept with modifications (side letter only)</t>
  </si>
  <si>
    <t xml:space="preserve">Keep LPA §3.6 unchanged. Side-letter excuse right for Investments in companies whose primary business is (i) manufacture, distribution or sale of tobacco products; (ii) manufacture or distribution of civilian firearms and ammunition; (iii) thermal coal extraction; or (iv) ownership or operation of private prisons or detention facilities. The right is tied to the IPS as delivered to the GP. GP determines reasonably after consultation, and the procedures of §8.8 apply (15% cap, see #14). Reject the 10% revenue test, the expanded categories and the unilateral additions in §8.6 (offer a good-faith discussion, with any addition subject to GP consent).</t>
  </si>
  <si>
    <t xml:space="preserve">Substitute a revenue test of 25% for “primary business”; add e-cigarettes/ENDS to tobacco.</t>
  </si>
  <si>
    <t xml:space="preserve">Side letter</t>
  </si>
  <si>
    <t xml:space="preserve">A&amp;L</t>
  </si>
  <si>
    <t xml:space="preserve">5</t>
  </si>
  <si>
    <t xml:space="preserve">Comment #5</t>
  </si>
  <si>
    <t xml:space="preserve">§4.3(c); new §4.3(f)</t>
  </si>
  <si>
    <t xml:space="preserve">SL §7</t>
  </si>
  <si>
    <t xml:space="preserve">Co-investment right of first offer (ROFO) at $25M or more</t>
  </si>
  <si>
    <t xml:space="preserve">ROFO for Meridian on every co-investment requiring $25M or more of equity, with 10 business days to elect. New §4.3(f) makes Meridian’s ROFO prevail over the LPAC-approved Co-Investment Allocation Policy. Side letter §7: the opportunity must be offered to Meridian before any other person if aggregate equity including the Fund’s own investment exceeds $25M; fee-free and carry-free; full diligence access.</t>
  </si>
  <si>
    <t xml:space="preserve">No LP has a co-investment right except under a side letter (§4.3(c)). Allocation follows the LPAC-approved Co-Investment Allocation Policy (§9.6).</t>
  </si>
  <si>
    <t xml:space="preserve">Fund IV first close: Osprey, Eastbridge and Pinnacle ($475M combined) hold pro-rata rights only: total equity over $50M, 10 business days, non-exclusive, subject to the allocation policy. No ROFO has been granted in Fund III or Fund IV.</t>
  </si>
  <si>
    <t xml:space="preserve">M. Thornfield: concerned; does not want to renegotiate with first-close LPs or create conflicting obligations.</t>
  </si>
  <si>
    <t xml:space="preserve">A ROFO pre-empts the first-close pro-rata rights on deals over $50M and captures every deal between $25M and $50M. §4.3(f) would override the LPAC policy, contrary to LPA §8.6(b) (a side letter may not adversely affect other Partners) and §9.6. Under SL §7.1 the threshold counts the Fund’s own equity, so in practice it covers every deal. MFN-electable by 4 LPs ($600M).</t>
  </si>
  <si>
    <t xml:space="preserve">Reject ROFO; counter with a pro-rata right</t>
  </si>
  <si>
    <t xml:space="preserve">Strike the LPA changes. Offer a side-letter pro-rata co-investment right in the same form as the first-close letters: deals with total equity over $50M where the GP elects to offer co-investment; pro-rata share 125/1,800 (6.94%); 10 business days to elect; subject to the Co-Investment Allocation Policy; non-exclusive. Information access the same as other co-investors. Fee and carry terms to match the first-close co-investment letters (to be confirmed; the internal records conflict).</t>
  </si>
  <si>
    <t xml:space="preserve">Add an annual co-investment pipeline discussion with Meridian staff and record Meridian’s sector preferences. No threshold below $50M and no priority over other LPs.</t>
  </si>
  <si>
    <t xml:space="preserve">A&amp;L; GP (allocation)</t>
  </si>
  <si>
    <t xml:space="preserve">6</t>
  </si>
  <si>
    <t xml:space="preserve">Comment #6</t>
  </si>
  <si>
    <t xml:space="preserve">§6.2(d)</t>
  </si>
  <si>
    <t xml:space="preserve">Residual split 85/15</t>
  </si>
  <si>
    <t xml:space="preserve">Change the residual split from 80/20 to 85/15, conforming to #1.</t>
  </si>
  <si>
    <t xml:space="preserve">80% to LPs / 20% to GP after the catch-up.</t>
  </si>
  <si>
    <t xml:space="preserve">As #1.</t>
  </si>
  <si>
    <t xml:space="preserve">The markup leaves §6.2(c) unchanged (catch-up still 80/20 until the GP has 20%), so the GP would catch up to 20% and then split 85/15, and the clawback would be measured at 15%. This is the drafting error term sheet §6.4 warned about.</t>
  </si>
  <si>
    <t xml:space="preserve">Strike. Flag to Haverstraw Pierce that the markup is internally inconsistent: §6.2(c) and the “Catch-Up” definition are not conformed.</t>
  </si>
  <si>
    <t xml:space="preserve">None.</t>
  </si>
  <si>
    <t xml:space="preserve">7</t>
  </si>
  <si>
    <t xml:space="preserve">Comment #7</t>
  </si>
  <si>
    <t xml:space="preserve">§6.3(a), (c)-(e)</t>
  </si>
  <si>
    <t xml:space="preserve">SL §9.1-9.4</t>
  </si>
  <si>
    <t xml:space="preserve">Clawback: gross basis, mandatory escrow, guarantees</t>
  </si>
  <si>
    <t xml:space="preserve">Calculate the clawback gross, deleting the 45% Assumed Tax Rate netting. Mandatory 30% Clawback Escrow until final liquidation, plus further escrows of at least 25%. Side letter §9: uncapped, joint and several personal guarantees from every carry participant; 30% escrow with an independent agent acceptable to Meridian, with Meridian a party to the escrow agreement; no set-off for taxes.</t>
  </si>
  <si>
    <t xml:space="preserve">Clawback net of taxes at the 45% Assumed Tax Rate (§6.3(a), (e)). Personal guarantees from Thornfield, Hayworth, Osei and Marchetti, each capped at 50% of after-tax carry (§6.3(c)). Discretionary escrow of at least 25% if the GP establishes one (§6.3(d)).</t>
  </si>
  <si>
    <t xml:space="preserve">Fund IV first close: Vandermeer side letter requires escrow of 30% of carry distributions until final liquidation (its only clawback change). No gross-up has been granted in any vintage.</t>
  </si>
  <si>
    <t xml:space="preserve">M. Thornfield: gross clawback is a non-starter for him and S. Hayworth personally; 45% is already conservative.</t>
  </si>
  <si>
    <t xml:space="preserve">A gross-up makes principals repay tax already paid. Meridian could already obtain the Vandermeer 30% escrow by MFN, electing Vandermeer’s whole letter ($20M is within the 150% test), so the escrow costs little to concede. Note: term sheet §2.5 names only Thornfield and Hayworth as guarantors, but the executed LPA §6.3(c) names all four principals. Reconcile.</t>
  </si>
  <si>
    <t xml:space="preserve">Reject gross-up and guarantee expansion; compromise on escrow</t>
  </si>
  <si>
    <t xml:space="preserve">Retain net-of-tax calculation and §6.3(c) guarantees (already given by all four senior principals). Offer a side-letter escrow mirroring Vandermeer: 30% of each Carried Interest distribution held in a Partnership escrow account until final liquidation, with annual balance reporting to the LPAC. Reject an LP-approved independent agent, Meridian as a party to the escrow agreement, and the set-off prohibition.</t>
  </si>
  <si>
    <t xml:space="preserve">Escrow held at a third-party bank in the Partnership’s name. No gross-up in any form.</t>
  </si>
  <si>
    <t xml:space="preserve">Side letter (escrow only)</t>
  </si>
  <si>
    <t xml:space="preserve">High - red line (gross-up)</t>
  </si>
  <si>
    <t xml:space="preserve">M. Thornfield / S. Hayworth; A&amp;L</t>
  </si>
  <si>
    <t xml:space="preserve">8</t>
  </si>
  <si>
    <t xml:space="preserve">Comment #8</t>
  </si>
  <si>
    <t xml:space="preserve">§6.5</t>
  </si>
  <si>
    <t xml:space="preserve">SL §11.1-11.3</t>
  </si>
  <si>
    <t xml:space="preserve">Tax distributions / tax-exempt status</t>
  </si>
  <si>
    <t xml:space="preserve">Clarify that, because Meridian is tax-exempt under Code §115, Tax Distributions do not reduce or offset its §6.2 distributions. Side letter §11.1 asks for quarterly tax distributions at about 53% (inconsistent with #8). §11.2 asks for UBTI/UDFI efforts and notice. §11.3 asks for blocker vehicles at Fund expense once UBTI exceeds $10,000.</t>
  </si>
  <si>
    <t xml:space="preserve">Tax distributions are discretionary, calculated at the highest NYC individual rate, and treated as advances against the recipient’s own §6.2 distributions.</t>
  </si>
  <si>
    <t xml:space="preserve">Fund IV first close: tax-distribution provisions for Great Lakes (45%), Ridgeline (40%), Blackthorn (40%), Summerfield (50%). Fund III: UBTI-minimisation provisions for Harborview, Ashford and Sterling.</t>
  </si>
  <si>
    <t xml:space="preserve">Not addressed.</t>
  </si>
  <si>
    <t xml:space="preserve">Low. §11.3 shifts blocker costs to all LPs, contrary to LPA §8.6(a) (a side letter may not impose obligations on the Partnership or others).</t>
  </si>
  <si>
    <t xml:space="preserve">Compromise (side-letter clarification)</t>
  </si>
  <si>
    <t xml:space="preserve">Side letter confirms that Tax Distributions are advances only against the recipient’s own entitlements, so distributions to others do not reduce Meridian’s §6.2 share, and that Meridian may opt out of receiving Tax Distributions. Reject §11.1. Accept §11.2 (commercially reasonable efforts plus prompt notice). §11.3: commercially reasonable efforts to consider a blocker or AIV for material UBTI, with incremental costs borne by Meridian or the electing LPs, not the Fund.</t>
  </si>
  <si>
    <t xml:space="preserve">Raise the UBTI notice threshold language; consider allocating blocker costs among all participating tax-exempt LPs that elect in.</t>
  </si>
  <si>
    <t xml:space="preserve">Low</t>
  </si>
  <si>
    <t xml:space="preserve">A&amp;L (tax)</t>
  </si>
  <si>
    <t xml:space="preserve">9</t>
  </si>
  <si>
    <t xml:space="preserve">Comment #9</t>
  </si>
  <si>
    <t xml:space="preserve">§7.1(a)</t>
  </si>
  <si>
    <t xml:space="preserve">Management fee rate mechanics (0.4375% quarterly)</t>
  </si>
  <si>
    <t xml:space="preserve">Conforming change to a 1.75% fee (quarterly instalment of 0.4375%).</t>
  </si>
  <si>
    <t xml:space="preserve">2.0% per annum; 0.5% per quarter.</t>
  </si>
  <si>
    <t xml:space="preserve">As #3.</t>
  </si>
  <si>
    <t xml:space="preserve">Strike. Any agreed concession would be documented as a Meridian-only side-letter rebate or offset, not as an LPA amendment.</t>
  </si>
  <si>
    <t xml:space="preserve">10</t>
  </si>
  <si>
    <t xml:space="preserve">Comment #10</t>
  </si>
  <si>
    <t xml:space="preserve">§7.1(d)</t>
  </si>
  <si>
    <t xml:space="preserve">SL §14; Comment #11</t>
  </si>
  <si>
    <t xml:space="preserve">Exclude subscription-line borrowings from the fee base</t>
  </si>
  <si>
    <t xml:space="preserve">Exclude capital funded by Subscription Facility or Bridge Financing from the Management Fee base until repaid. Side letter §14 instead asks for a dollar-for-dollar offset of Meridian’s share of facility interest and fees against its management fee.</t>
  </si>
  <si>
    <t xml:space="preserve">Fee charged on Aggregate Commitments regardless of facility use (§7.1(d), §7.5(d)). Facility costs are Partnership Expenses (§7.5(c)).</t>
  </si>
  <si>
    <t xml:space="preserve">Fund IV first close: Ironclad requested a sub-line fee offset; it was not granted, and the GP committed to transparency only.</t>
  </si>
  <si>
    <t xml:space="preserve">Not specifically addressed; general concern about MFN cascade.</t>
  </si>
  <si>
    <t xml:space="preserve">This is an economic term and MFN-electable. During the Investment Period the fee is commitment-based, so the request reduces it below 2.0% in substance. It is administratively complex (base varies daily) and fund-wide if made in the LPA.</t>
  </si>
  <si>
    <t xml:space="preserve">Reject; compromise on transparency</t>
  </si>
  <si>
    <t xml:space="preserve">Retain §7.1(d) and §7.5(d). Offer quarterly subscription-facility reporting (see #11/#22), consistent with the Ironclad precedent and MPRSTA §24-51-206.</t>
  </si>
  <si>
    <t xml:space="preserve">Commit to a facility usage policy (e.g., repayment within the §7.4/§7.5 limits) and disclose levered and unlevered IRR.</t>
  </si>
  <si>
    <t xml:space="preserve">Side letter (reporting only)</t>
  </si>
  <si>
    <t xml:space="preserve">A&amp;L; GP (CFO)</t>
  </si>
  <si>
    <t xml:space="preserve">11</t>
  </si>
  <si>
    <t xml:space="preserve">Comment #11</t>
  </si>
  <si>
    <t xml:space="preserve">§7.5(d)</t>
  </si>
  <si>
    <t xml:space="preserve">Comments #10, #22; SL §14</t>
  </si>
  <si>
    <t xml:space="preserve">Subscription-facility reporting; delete fee-neutral language</t>
  </si>
  <si>
    <t xml:space="preserve">Delete the fee-neutral and Preferred-Return-neutral language. Add quarterly reporting of amounts drawn and outstanding, interest and fees, the effect on net/gross IRR and TVPI, and each LP’s pro rata share of costs.</t>
  </si>
  <si>
    <t xml:space="preserve">§7.5(d) states the facility does not affect fee, Preferred Return or IRR calculations.</t>
  </si>
  <si>
    <t xml:space="preserve">Ironclad (first close): sub-line transparency commitment. MPRSTA §24-51-206 requires facility terms, lender identity, maximum duration, outstanding and drawn/repaid amounts, and allocated borrowing costs.</t>
  </si>
  <si>
    <t xml:space="preserve">Reporting is low-risk and largely statutory. Deleting §7.5(d) is linked to the economic ask in #10.</t>
  </si>
  <si>
    <t xml:space="preserve">Accept reporting in part; reject deletion</t>
  </si>
  <si>
    <t xml:space="preserve">Keep §7.5(d). In the side letter and quarterly reports provide: amount drawn and outstanding; interest and fees for the quarter; Meridian’s allocable share; facility size, lender(s) and maximum tenor (MPRSTA 206(a)(iv)-(v)); and net IRR with and without the facility (ILPA-style).</t>
  </si>
  <si>
    <t xml:space="preserve">Provide the same reporting fund-wide in the quarterly report template (GP choice; may defuse MFN pressure).</t>
  </si>
  <si>
    <t xml:space="preserve">A&amp;L; Fund Administrator</t>
  </si>
  <si>
    <t xml:space="preserve">12</t>
  </si>
  <si>
    <t xml:space="preserve">Comment #12</t>
  </si>
  <si>
    <t xml:space="preserve">§7.7</t>
  </si>
  <si>
    <t xml:space="preserve">SL §4.2; §15.2(i)</t>
  </si>
  <si>
    <t xml:space="preserve">Placement agent disclosure (Calderbank)</t>
  </si>
  <si>
    <t xml:space="preserve">Fund-wide disclosure statement on admission with (i) each placement agent, (ii) aggregate compensation per agent, (iii) the identities of all LPs solicited or introduced by each agent, and (iv) any affiliation, updated after each Subsequent Closing. Side letter §4.2 adds per-LP commitment amounts, life-of-fund fees and a representation and indemnity that no agent was involved in Meridian’s commitment.</t>
  </si>
  <si>
    <t xml:space="preserve">§7.7 already discloses Calderbank (non-exclusive, unaffiliated) and its 1.5% fee on introduced commitments, payable by the GP or Management Company and not the Fund. On request, an LP receives fee information for its own commitment, a copy or summary of the agreement, and a conflicts statement.</t>
  </si>
  <si>
    <t xml:space="preserve">MPRSTA §24-51-207(a) requires: agent identity; services; compensation attributable to Meridian’s commitment; registration status. §207(b): certification if no agent was involved. §207(c)(i): aggregate fundraising compensation, only to the extent the Fund Manager provides it. §207(d): no obligation to disclose other investors introduced by the agent. §210(a)(iv): other investors’ identities are Confidential Information. First close: Great Lakes, Caledonia and Sterling Municipal received identity/fee disclosure (verify none includes LP attribution). Calderbank-introduced first-close LPs: Pinnacle, Hargrove, Ridgeline, Compass Point, Summerfield ($225M; $3.375M in fees).</t>
  </si>
  <si>
    <t xml:space="preserve">M. Thornfield: meet the statutory minimum, confirm no fee on Meridian, and describe Calderbank’s engagement and fee structure in general terms. Never identify other LPs; Calderbank has been promised protection, and those LPs have side-letter confidentiality expectations.</t>
  </si>
  <si>
    <t xml:space="preserve">LP attribution would breach other LPs’ confidentiality, is not required by statute, and would make Meridian (and the public record via MORA) a window into other admissions.</t>
  </si>
  <si>
    <t xml:space="preserve">Compromise: statutory scope only</t>
  </si>
  <si>
    <t xml:space="preserve">Strike the §7.7 and §15.2(i) markup. Side letter provides: (i) a §207(b) certification that no Placement Agent solicited Meridian’s commitment and no compensation is attributable to it; (ii) Calderbank’s legal name, address, contact, non-exclusive scope of services and broker-dealer/IA registration status; (iii) the fee structure (1.5% of introduced commitments, borne by the GP or Management Company, never the Fund or LPs); (iv) delivery within 30 days of admission or request; (v) a GP (not Fund) indemnity against placement-fee claims relating to Meridian’s commitment. Reject LP identities, per-LP amounts and quarterly fee reporting.</t>
  </si>
  <si>
    <t xml:space="preserve">After Calderbank consents and its engagement letter is checked, disclose aggregate Calderbank compensation for the Fund under §207(c)(i) (currently $3.375M on first close), updated after the Final Closing. No attribution.</t>
  </si>
  <si>
    <t xml:space="preserve">A&amp;L; GP to clear with Calderbank</t>
  </si>
  <si>
    <t xml:space="preserve">13</t>
  </si>
  <si>
    <t xml:space="preserve">Comment #13</t>
  </si>
  <si>
    <t xml:space="preserve">§8.7(c); §16.2(d), (h)</t>
  </si>
  <si>
    <t xml:space="preserve">SL §2.1-2.5</t>
  </si>
  <si>
    <t xml:space="preserve">MFN - provision-by-provision (cherry-picking)</t>
  </si>
  <si>
    <t xml:space="preserve">Replace the Single Side Letter Requirement with provision-by-provision elections across any side letters. Side letter §2: unredacted copies of all side letters plus a summary identifying each LP; scope covering all terms (economics, LPAC, governance); ongoing MFN within 10 business days of any new letter; “Favorable Provision” judged by Meridian.</t>
  </si>
  <si>
    <t xml:space="preserve">Whole-letter election; MFN Threshold $75M; Comparability Threshold 150% of the elector’s commitment; exclusions for legal/tax/regulatory terms, LPAC membership and non-replicable terms; redacted disclosure; annual re-election (§8.7, §16.2).</t>
  </si>
  <si>
    <t xml:space="preserve">All 14 first-close side letters are whole-letter (20 business-day window). Fund III was whole-letter, and the total fee cascade was only $170K/yr on $1.55B. Meridian’s own Fund III MFN was whole-letter.</t>
  </si>
  <si>
    <t xml:space="preserve">M. Thornfield: has concerns; defers to the legal analysis.</t>
  </si>
  <si>
    <t xml:space="preserve">As an LPA change it would give every LP cherry-picking rights and unravel negotiated packages. Fee or other economic concessions would then cascade without the whole-letter brake. Unredacted, LP-identified disclosure conflicts with §8.7(a)/§16.2(b) and other LPs’ confidentiality (MPRSTA §210(a)(iv)).</t>
  </si>
  <si>
    <t xml:space="preserve">Retain §8.7/§16.2 in full. Confirm in the side letter that Meridian ($125M) is MFN-eligible and may elect any side letter of an LP with commitments up to $187.5M (150%), with annual re-election under §16.2(h) (which answers SL §2.4). Disclosure stays redacted.</t>
  </si>
  <si>
    <t xml:space="preserve">Confirm that terms granted solely for Meridian’s statutory status (MPRSTA/MORA, sovereign immunity) are excluded from other LPs’ elections, which also protects the GP.</t>
  </si>
  <si>
    <t xml:space="preserve">No LPA change; side-letter confirmation</t>
  </si>
  <si>
    <t xml:space="preserve">14</t>
  </si>
  <si>
    <t xml:space="preserve">Comment #14</t>
  </si>
  <si>
    <t xml:space="preserve">§8.8(a), (e); Schedule B</t>
  </si>
  <si>
    <t xml:space="preserve">Comment #4; SL §8.3</t>
  </si>
  <si>
    <t xml:space="preserve">Excuse procedures - notice period and cap</t>
  </si>
  <si>
    <t xml:space="preserve">Extend the excuse notice period from 5 to 10 business days; add “investment policy” as a basis; raise the cap from 15% to 25% of Aggregate Commitments; exclude IPS-based excuses from the cap.</t>
  </si>
  <si>
    <t xml:space="preserve">5 business days from the Capital Call Notice; 15% aggregate excuse cap; GP may require participation or reduce the commitment if exceeded.</t>
  </si>
  <si>
    <t xml:space="preserve">Fund III Grandview/Sterling: commercially reasonable efforts to give 15 business days’ advance notice.</t>
  </si>
  <si>
    <t xml:space="preserve">Open to discussion (excuse generally).</t>
  </si>
  <si>
    <t xml:space="preserve">Capital Call Notices give only 10 business days (§3.4(b)), so a 10-day excuse window runs to the funding date. Lifting the cap increases reallocation to other LPs and concentration-limit pressure.</t>
  </si>
  <si>
    <t xml:space="preserve">Reject cap change; compromise on timing</t>
  </si>
  <si>
    <t xml:space="preserve">Keep the 15% cap, counting all excuses. Instead of a longer post-notice window, the GP will use commercially reasonable efforts to give Meridian at least 15 business days’ advance notice of a prospective Investment that may fall within a restricted sector (Grandview precedent). Meridian then elects within 5 business days of that notice.</t>
  </si>
  <si>
    <t xml:space="preserve">Cap at 20% for IPS-based excuses only.</t>
  </si>
  <si>
    <t xml:space="preserve">15</t>
  </si>
  <si>
    <t xml:space="preserve">Comment #15</t>
  </si>
  <si>
    <t xml:space="preserve">new §9.1(f)</t>
  </si>
  <si>
    <t xml:space="preserve">SL §6</t>
  </si>
  <si>
    <t xml:space="preserve">LPAC seat</t>
  </si>
  <si>
    <t xml:space="preserve">Guaranteed LPAC seat while Meridian’s commitment is at least $100M. Side letter §6: seat for the full term including extensions, $75M retention threshold, no removal without consent, James Teague as representative.</t>
  </si>
  <si>
    <t xml:space="preserve">7-member LPAC appointed and removable at GP discretion (§9.1). LPAC membership is excluded from MFN (§8.7(d)(iii), §9.1(e)).</t>
  </si>
  <si>
    <t xml:space="preserve">Meridian held a seat in Fund III. Fund IV first close: Osprey, Eastbridge, Great Lakes and Vandermeer hold seats (4 of 7).</t>
  </si>
  <si>
    <t xml:space="preserve">M. Thornfield: fine.</t>
  </si>
  <si>
    <t xml:space="preserve">Low. In Fund III, Grandview, Whitfield and Lakewood MFN-elected Meridian’s letter to obtain LPAC seats, forcing expansion from 5 to 7. The Fund IV exclusion prevents that.</t>
  </si>
  <si>
    <t xml:space="preserve">Accept (side letter)</t>
  </si>
  <si>
    <t xml:space="preserve">Side-letter appointment (James Teague, with an alternate) for so long as Meridian is not a Defaulting LP and its commitment has not been transferred below $100M. The GP will not remove Meridian except on those events or an uncured breach of LPAC confidentiality. Not in the LPA. Confirm it is excluded from MFN.</t>
  </si>
  <si>
    <t xml:space="preserve">Accept a $75M retention threshold (SL §6.4) if needed.</t>
  </si>
  <si>
    <t xml:space="preserve">16</t>
  </si>
  <si>
    <t xml:space="preserve">Comment #16</t>
  </si>
  <si>
    <t xml:space="preserve">new §9.2(e)</t>
  </si>
  <si>
    <t xml:space="preserve">SL §5.5</t>
  </si>
  <si>
    <t xml:space="preserve">Annual all-LP meeting</t>
  </si>
  <si>
    <t xml:space="preserve">Mandatory in-person annual meeting of all LPs within 120 days of year-end, with a prescribed agenda (including sub-line usage) and 30 days’ notice. Side letter §5.5 says 180 days.</t>
  </si>
  <si>
    <t xml:space="preserve">Annual LPAC meeting (§9.2(a)); quarterly reports.</t>
  </si>
  <si>
    <t xml:space="preserve">Fund IV first close: Great Lakes has an annual LP meeting attendance right; Osprey has a bilateral annual meeting with the investment team; Northvale requested one. Term sheet §7.10: all-LP meetings are not market for this fund.</t>
  </si>
  <si>
    <t xml:space="preserve">M. Thornfield: operationally burdensome; offer an annual investor day on a best-efforts, non-contractual basis.</t>
  </si>
  <si>
    <t xml:space="preserve">Low. Fund-wide obligation if left in the LPA.</t>
  </si>
  <si>
    <t xml:space="preserve">Strike §9.2(e). Side letter: the GP intends to host an annual investor day (in person and/or virtual) on a best-efforts basis, without a contractual obligation, and Meridian will be invited to any such meeting. Also an annual bilateral portfolio review with Meridian’s investment staff (Osprey precedent).</t>
  </si>
  <si>
    <t xml:space="preserve">Commit to an annual LP update webcast.</t>
  </si>
  <si>
    <t xml:space="preserve">A&amp;L; GP IR</t>
  </si>
  <si>
    <t xml:space="preserve">17</t>
  </si>
  <si>
    <t xml:space="preserve">Comment #17</t>
  </si>
  <si>
    <t xml:space="preserve">§9.3(a); Exhibit D</t>
  </si>
  <si>
    <t xml:space="preserve">Comment #2; SL §13</t>
  </si>
  <si>
    <t xml:space="preserve">Key Person Event - “any two of four” trigger</t>
  </si>
  <si>
    <t xml:space="preserve">A Key Person Event occurs only if any two of Thornfield, Hayworth, Osei and Marchetti cease to devote substantially all of their time; the departure of a single Key Person no longer triggers. Side letter §13 adds enhanced notification and a call within 10 business days.</t>
  </si>
  <si>
    <t xml:space="preserve">A Key Person Event occurs if either Thornfield or Hayworth ceases to devote substantially all business time, triggering automatic suspension (§9.3(b)).</t>
  </si>
  <si>
    <t xml:space="preserve">No Key Person modification for any first-close LP. Term sheet §7.8: GP open to adding sector heads only if the trigger is not weakened.</t>
  </si>
  <si>
    <t xml:space="preserve">M. Thornfield: wants the weakening effect analysed.</t>
  </si>
  <si>
    <t xml:space="preserve">Although framed as broadening coverage, the change weakens LP protection: Thornfield (or Hayworth) alone could leave without suspension. It is a fund-wide LPA amendment needing Majority in Interest consent (§17.1(b)), and first-close LPs and consultants would see it as diluting the protection they priced in. The reverse construct (adding Osei and Marchetti under the “either” test) would raise the GP’s trigger risk.</t>
  </si>
  <si>
    <t xml:space="preserve">Reject as drafted; compromise</t>
  </si>
  <si>
    <t xml:space="preserve">Retain §9.3 and Exhibit D. Side letter: the GP will notify Meridian within 5 business days if Osei or Marchetti ceases to devote substantially all business time to the Fund, with an explanation and succession plan, and will hold a call within 10 business days (SL §13.2 in substance).</t>
  </si>
  <si>
    <t xml:space="preserve">At GP’s election, and as a fund-wide amendment requiring consent, a supplemental trigger if both Osei and Marchetti cease, while keeping the “either” trigger for Thornfield/Hayworth.</t>
  </si>
  <si>
    <t xml:space="preserve">18</t>
  </si>
  <si>
    <t xml:space="preserve">Comment #18</t>
  </si>
  <si>
    <t xml:space="preserve">§10.3(a)</t>
  </si>
  <si>
    <t xml:space="preserve">SL §15</t>
  </si>
  <si>
    <t xml:space="preserve">No-fault removal (75% to 60%)</t>
  </si>
  <si>
    <t xml:space="preserve">Reduce the no-fault removal threshold from 75% to 60% in Interest. SL §15.2 concedes the term is fund-wide and belongs in the LPA.</t>
  </si>
  <si>
    <t xml:space="preserve">75% in Interest for no-fault removal (already reduced from Fund III’s 80% at anchor LP request); 66⅔% for cause.</t>
  </si>
  <si>
    <t xml:space="preserve">No first-close LP received any reduction. Fund III: 80%.</t>
  </si>
  <si>
    <t xml:space="preserve">M. Thornfield: hard red line; maximum is to hold at 75%; frame as “the fund has already moved meaningfully from its historical position”. Asked us to confirm the sub-line covenant.</t>
  </si>
  <si>
    <t xml:space="preserve">At target, LP commitments are about $1.764B: 60% = $1.058B versus 75% = $1.323B. If only Meridian is added at second close (LP total $1.105B), 60% = $663M, which Osprey, Eastbridge, Great Lakes, Pinnacle and Meridian alone ($725M) exceed. At 75% ($829M) at least 7 LPs are needed. The credit facility term sheet is not in the file, so the lender covenant cannot yet be confirmed.</t>
  </si>
  <si>
    <t xml:space="preserve">Decline. The Fund moved from 80% to 75% at anchor-LP request at first close; a further reduction would fundamentally alter the governance balance accepted by 14 first-close LPs and is a fund-wide term requiring Majority in Interest consent. Mention the subscription facility only after the covenant is confirmed.</t>
  </si>
  <si>
    <t xml:space="preserve">None. Hold at 75%.</t>
  </si>
  <si>
    <t xml:space="preserve">M. Thornfield; A&amp;L (obtain credit facility docs)</t>
  </si>
  <si>
    <t xml:space="preserve">19</t>
  </si>
  <si>
    <t xml:space="preserve">Comment #19</t>
  </si>
  <si>
    <t xml:space="preserve">§12.1(a)</t>
  </si>
  <si>
    <t xml:space="preserve">SL §10, §17.1</t>
  </si>
  <si>
    <t xml:space="preserve">Transfer consent not unreasonably withheld</t>
  </si>
  <si>
    <t xml:space="preserve">GP consent to transfers not to be unreasonably withheld, conditioned or delayed. Side letter §10: response within 20 business days; consent-free transfers to successors, other Meridian public entities and Meridian-sponsored vehicles; no transfer fee; transferees take side-letter benefits.</t>
  </si>
  <si>
    <t xml:space="preserve">Consent in the GP’s sole and absolute discretion (§12.1(a)). Note: term sheet §2.12 wrongly describes the LPA standard as “not unreasonably withheld”.</t>
  </si>
  <si>
    <t xml:space="preserve">Fund IV first close: 8 of 14 LPs have the not-unreasonably-withheld standard. Fund III: Meridian had it with a 30-day response period.</t>
  </si>
  <si>
    <t xml:space="preserve">Low as a side letter. Fund-wide if made in the LPA.</t>
  </si>
  <si>
    <t xml:space="preserve">Accept with modifications (side letter)</t>
  </si>
  <si>
    <t xml:space="preserve">Side letter: consent not unreasonably withheld, conditioned or delayed; response within 30 days of a complete request (Fund III precedent). Permitted transfer to a statutory successor of Meridian STRS, subject to §12.3 conditions. Other transfers stay subject to consent on that standard. Transferor bears reasonable out-of-pocket costs (§12.3(d)) but no separate GP fee. Side-letter benefits pass only to a statutory successor (§12.4). LPA §12.1(a) unchanged.</t>
  </si>
  <si>
    <t xml:space="preserve">Accept 20 business days for response.</t>
  </si>
  <si>
    <t xml:space="preserve">20</t>
  </si>
  <si>
    <t xml:space="preserve">Comment #20</t>
  </si>
  <si>
    <t xml:space="preserve">§14.2(b)</t>
  </si>
  <si>
    <t xml:space="preserve">SL §3.1-3.5, §17.8</t>
  </si>
  <si>
    <t xml:space="preserve">Confidentiality - FOIA / MORA / MPRSTA carve-out</t>
  </si>
  <si>
    <t xml:space="preserve">Meridian may disclose any and all Fund information (including side letters, other LPs’ commitments, valuations and placement fees) in response to any public-records request, with no notice to the GP, no protective treatment and no limit on scope. Side letter §3: disclosure in Meridian’s sole discretion where “required, requested or appropriate”; waiver of GP injunctive relief and of claims; GP cooperation within 5 business days at no cost.</t>
  </si>
  <si>
    <t xml:space="preserve">Disclosure as required by law (§14.2(b)), limited to the minimum required. No public-records carve-out in the base LPA; handled by side letter (term sheet §2.11).</t>
  </si>
  <si>
    <t xml:space="preserve">Fund III Meridian: MPRSTA/MORA carve-out with 10 business days’ notice and protective treatment. Fund IV first close: Osprey, Great Lakes and Sterling (10 business days); Caledonia (15 business days, protective order or redaction). MPRSTA §24-51-210(b) itself requires notice to the Fund Manager within 5 business days of a MORA request and up to 15 business days to seek protection.</t>
  </si>
  <si>
    <t xml:space="preserve">M. Thornfield: accept a carve-out, but the GP must keep notice rights and the ability to seek protective treatment; the current drafting is far too open-ended.</t>
  </si>
  <si>
    <t xml:space="preserve">An unqualified carve-out would expose other LPs’ terms, portfolio trade secrets and pending deals. It is broader than Meridian’s own statute (MPRSTA §§24-51-209(b), 210, 212).</t>
  </si>
  <si>
    <t xml:space="preserve">Compromise: accept carve-out with notice-and-consult</t>
  </si>
  <si>
    <t xml:space="preserve">Side letter (not LPA): (a) Meridian may make disclosures required by MPRSTA §§24-51-204 to 208 without restriction. (b) Other information may be disclosed only as required by MORA, after (i) written notice to the GP within 5 business days of the request and at least 10 business days before disclosure, (ii) a GP opportunity of at least 15 business days to identify Confidential Information and seek protective treatment at GP expense, and (iii) Meridian asserting available exemptions (MORA §24-72-108; MPRSTA §210(a)) and disclosing only the minimum required. (c) Other LPs’ identities, commitments and side-letter terms, portfolio-company trade secrets and pending-transaction terms are not to be disclosed voluntarily. Reject the injunctive-relief and claims waivers. Cooperation: within 30 days of request (MPRSTA §§204(c), 207(d)). Correct the cross-reference to LPA Art. XIV.</t>
  </si>
  <si>
    <t xml:space="preserve">Shorten the GP response window to 10 business days if Meridian shows a statutory deadline.</t>
  </si>
  <si>
    <t xml:space="preserve">21</t>
  </si>
  <si>
    <t xml:space="preserve">Comment #21</t>
  </si>
  <si>
    <t xml:space="preserve">§15.1(a), (b), new (e)</t>
  </si>
  <si>
    <t xml:space="preserve">SL §4.1, §5.2, §5.4</t>
  </si>
  <si>
    <t xml:space="preserve">Accelerated financial reporting; quarterly ESG</t>
  </si>
  <si>
    <t xml:space="preserve">Audited financials in 90 days (from 120); quarterly reports in 45 days (from 60); new quarterly portfolio-company ESG report (carbon emissions, workforce diversity, governance ratings) within 45 days.</t>
  </si>
  <si>
    <t xml:space="preserve">Audited financials within 120 days; quarterly within 60 days; no ESG reporting.</t>
  </si>
  <si>
    <t xml:space="preserve">Meridian’s own side letter (§5.1/§5.2) uses 60/120 days, inconsistent with this comment. Fund III: 60 days (all LPs). ESG: Great Lakes (ESG metrics), Northvale (annual), Vandermeer (SFDR); Fund III Vanguard Pacific annual ESG within 90 days.</t>
  </si>
  <si>
    <t xml:space="preserve">M. Thornfield: quarterly reporting is standard and accepted. Acceleration not addressed.</t>
  </si>
  <si>
    <t xml:space="preserve">Fund-wide burden if in the LPA. Ironbark audit timing. MPRSTA needs data 90 days after June 30 and Dec 31, and unaudited data is permitted under §24-51-208(b).</t>
  </si>
  <si>
    <t xml:space="preserve">Reject acceleration; compromise on ESG</t>
  </si>
  <si>
    <t xml:space="preserve">Keep 120/60 days. Side letter: GP delivers a semi-annual MPRSTA data package (fees and offsets, carry, NAV/IRR/TVPI, itemised expenses, facility data) within 60 days after June 30 and December 31 (unaudited for year-end, per §208(b)), giving Meridian 30 days before its 90-day deadline. ESG: annual report delivered with the audited financials (SL §5.4 form), on a commercially reasonable efforts basis. No quarterly portfolio-level carbon or diversity metrics.</t>
  </si>
  <si>
    <t xml:space="preserve">Year-end MPRSTA package at 75 days; annual ESG report to include available portfolio-level data.</t>
  </si>
  <si>
    <t xml:space="preserve">22</t>
  </si>
  <si>
    <t xml:space="preserve">Comment #22</t>
  </si>
  <si>
    <t xml:space="preserve">§15.2(g)-(i)</t>
  </si>
  <si>
    <t xml:space="preserve">SL §5.1</t>
  </si>
  <si>
    <t xml:space="preserve">Enhanced quarterly reports (sub-line, co-investment, placement fees)</t>
  </si>
  <si>
    <t xml:space="preserve">Add to quarterly reports: (g) sub-line borrowings and the IRR effect; (h) co-investments offered, with amounts, sectors and participants; (i) placement agent fees paid. Side letter §5.1: ILPA-style quarterly package within 60 days.</t>
  </si>
  <si>
    <t xml:space="preserve">§15.2(a)-(f): financials, investment summary, capital account, calls/distributions, fee and offset summary, material events.</t>
  </si>
  <si>
    <t xml:space="preserve">Fund III Meridian: quarterly reporting in ILPA format within 60 days. Co-investment activity reported to the LPAC annually (§4.3(e), §9.6(d)).</t>
  </si>
  <si>
    <t xml:space="preserve">M. Thornfield: quarterly reporting is completely standard; accept.</t>
  </si>
  <si>
    <t xml:space="preserve">Participant identities expose other LPs. Placement-fee item addressed in #12.</t>
  </si>
  <si>
    <t xml:space="preserve">Accept quarterly reporting; accept (g); reject (h) participants and (i)</t>
  </si>
  <si>
    <t xml:space="preserve">Accept SL §5.1 (ILPA-template quarterly reports within 60 days). Include sub-line data per #11. Co-investment: aggregate annual reporting through the LPAC, without co-investor identities. Placement fees: per #12 only.</t>
  </si>
  <si>
    <t xml:space="preserve">Aggregate quarterly co-investment summary (number, amount, sector) without participant names.</t>
  </si>
  <si>
    <t xml:space="preserve">23</t>
  </si>
  <si>
    <t xml:space="preserve">Comment #23</t>
  </si>
  <si>
    <t xml:space="preserve">§18.1</t>
  </si>
  <si>
    <t xml:space="preserve">SL §12, §17.3</t>
  </si>
  <si>
    <t xml:space="preserve">Sovereign immunity reservation</t>
  </si>
  <si>
    <t xml:space="preserve">Add to the power-of-attorney section that nothing waives Meridian’s sovereign or governmental immunity. Side letter §12 is broader (immunity from suit, liability and execution; Meridian law governs §12).</t>
  </si>
  <si>
    <t xml:space="preserve">Irrevocable power of attorney (§18.1); Delaware law; JAMS arbitration (§19).</t>
  </si>
  <si>
    <t xml:space="preserve">Fund IV first close: Eastbridge (sovereign immunity reservation). Fund III: Vanguard Pacific.</t>
  </si>
  <si>
    <t xml:space="preserve">M. Thornfield: fine; standard for a public pension.</t>
  </si>
  <si>
    <t xml:space="preserve">Low, provided Meridian’s obligations stay enforceable.</t>
  </si>
  <si>
    <t xml:space="preserve">Side letter: nothing in the Fund documents waives any immunity Meridian has under Meridian or federal law. Meridian acknowledges that its payment obligations (capital contributions, §3.5 default remedies, returns of distributions) remain binding to the extent permitted by law, and the GP does not concede that any immunity exists. Remove the Meridian-specific text from LPA §18.1. Meridian law may govern §12 only.</t>
  </si>
  <si>
    <t xml:space="preserve">Accept SL §12 largely as drafted with the obligations acknowledgment.</t>
  </si>
  <si>
    <t xml:space="preserve">SL-1</t>
  </si>
  <si>
    <t xml:space="preserve">Side Letter</t>
  </si>
  <si>
    <t xml:space="preserve">SL §1.2</t>
  </si>
  <si>
    <t xml:space="preserve">LPA §16.1</t>
  </si>
  <si>
    <t xml:space="preserve">-</t>
  </si>
  <si>
    <t xml:space="preserve">Precedence clause</t>
  </si>
  <si>
    <t xml:space="preserve">The side letter controls over the LPA for Meridian, including where the LPA imposes obligations or limits rights.</t>
  </si>
  <si>
    <t xml:space="preserve">§16.1: the side letter governs for the party to it, only to the extent of conflict.</t>
  </si>
  <si>
    <t xml:space="preserve">Exhibit E form ¶2.</t>
  </si>
  <si>
    <t xml:space="preserve">Low.</t>
  </si>
  <si>
    <t xml:space="preserve">Accept with modification</t>
  </si>
  <si>
    <t xml:space="preserve">Conform to LPA §16.1 and Exhibit E: effective only for Meridian, only to the extent of conflict, and no effect on fund-wide terms or other Partners (§8.6).</t>
  </si>
  <si>
    <t xml:space="preserve">SL-2</t>
  </si>
  <si>
    <t xml:space="preserve">SL §4.1, §4.3</t>
  </si>
  <si>
    <t xml:space="preserve">LPA §15.3</t>
  </si>
  <si>
    <t xml:space="preserve">#21</t>
  </si>
  <si>
    <t xml:space="preserve">MPRSTA reporting and regulatory assistance</t>
  </si>
  <si>
    <t xml:space="preserve">Semi-annual MPRSTA data within 60 days of period end (fees, carry, performance, expenses, placement-agent relationships “applicable to the Fund”). Further regulatory information on request at no cost.</t>
  </si>
  <si>
    <t xml:space="preserve">§15.3: commercially reasonable efforts to provide information for legal/regulatory reporting; not obliged to create information or disclose competitively sensitive data.</t>
  </si>
  <si>
    <t xml:space="preserve">MPRSTA §§24-51-204 to 207, 209 (cooperation within 30 days).</t>
  </si>
  <si>
    <t xml:space="preserve">Accommodate statutory requirements.</t>
  </si>
  <si>
    <t xml:space="preserve">Low if limited to statutory categories.</t>
  </si>
  <si>
    <t xml:space="preserve">Accept a 60-day semi-annual package covering the §§204-206 categories. Placement-agent content per #12. Other assistance on §15.3 terms (information readily available).</t>
  </si>
  <si>
    <t xml:space="preserve">SL-3</t>
  </si>
  <si>
    <t xml:space="preserve">SL §4.4</t>
  </si>
  <si>
    <t xml:space="preserve">#20</t>
  </si>
  <si>
    <t xml:space="preserve">Audit / inspection rights (incl. State Auditor)</t>
  </si>
  <si>
    <t xml:space="preserve">Meridian, the Meridian State Auditor, the Legislative Audit Committee and independent auditors may inspect and copy the books of the Fund and the GP on 10 business days’ notice.</t>
  </si>
  <si>
    <t xml:space="preserve">None; Fund audited by Ironbark.</t>
  </si>
  <si>
    <t xml:space="preserve">None identified.</t>
  </si>
  <si>
    <t xml:space="preserve">Access to GP books and other LPs’ data.</t>
  </si>
  <si>
    <t xml:space="preserve">On reasonable notice, at most annually and at Meridian’s cost, the GP will make available (through the Fund Administrator) records supporting fee, expense and carry calculations attributable to Meridian’s interest, subject to confidentiality. No access to GP or Management Company books or to other LPs’ data. Statutory audits are accommodated as required by law.</t>
  </si>
  <si>
    <t xml:space="preserve">Allow State Auditor access on the same terms.</t>
  </si>
  <si>
    <t xml:space="preserve">SL-4</t>
  </si>
  <si>
    <t xml:space="preserve">SL §7.3-7.4</t>
  </si>
  <si>
    <t xml:space="preserve">§4.3(d)</t>
  </si>
  <si>
    <t xml:space="preserve">#5</t>
  </si>
  <si>
    <t xml:space="preserve">Co-investment economics and information</t>
  </si>
  <si>
    <t xml:space="preserve">Co-investments free of management fees and carry; vehicle bears only direct transaction costs; full diligence access.</t>
  </si>
  <si>
    <t xml:space="preserve">§4.3(d): co-investments are not subject to Fund fee or carry unless agreed; terms set by co-investment documents.</t>
  </si>
  <si>
    <t xml:space="preserve">CONFLICT: the first-close tracker says standard fees and carry apply to the Osprey, Eastbridge and Pinnacle co-investments. Term sheet §5 says no-fee/no-carry. Fund III tracker shows fee-free/carry-free co-investments for Osprey, Eastbridge and Pinnacle, but term sheet §4 says no Fund III LP had a co-investment fee waiver.</t>
  </si>
  <si>
    <t xml:space="preserve">Granting better co-investment economics than first-close LPs triggers MFN demands.</t>
  </si>
  <si>
    <t xml:space="preserve">Hold - confirm precedent</t>
  </si>
  <si>
    <t xml:space="preserve">Offer co-investment economics identical to the executed first-close co-investment letters, once the actual terms are confirmed. Information access the same as other co-investors.</t>
  </si>
  <si>
    <t xml:space="preserve">A&amp;L (verify executed letters)</t>
  </si>
  <si>
    <t xml:space="preserve">SL-5</t>
  </si>
  <si>
    <t xml:space="preserve">SL §9.2, §9.4</t>
  </si>
  <si>
    <t xml:space="preserve">§6.3(c)</t>
  </si>
  <si>
    <t xml:space="preserve">#7</t>
  </si>
  <si>
    <t xml:space="preserve">Uncapped joint and several personal guarantees; no set-off</t>
  </si>
  <si>
    <t xml:space="preserve">Every carry participant gives an uncapped, joint and several guarantee to Meridian within 30 days of admission. No set-off of any kind.</t>
  </si>
  <si>
    <t xml:space="preserve">Four principals, each capped at 50% of after-tax carry, delivered within 30 days of the first carry distribution.</t>
  </si>
  <si>
    <t xml:space="preserve">Hard no on gross-up and personal exposure.</t>
  </si>
  <si>
    <t xml:space="preserve">Direct personal liability for principals.</t>
  </si>
  <si>
    <t xml:space="preserve">Existing §6.3(c) guarantees stand.</t>
  </si>
  <si>
    <t xml:space="preserve">M. Thornfield / S. Hayworth</t>
  </si>
  <si>
    <t xml:space="preserve">SL-6</t>
  </si>
  <si>
    <t xml:space="preserve">SL §11.1</t>
  </si>
  <si>
    <t xml:space="preserve">#8</t>
  </si>
  <si>
    <t xml:space="preserve">Mandatory quarterly tax distributions (about 53%)</t>
  </si>
  <si>
    <t xml:space="preserve">Commercially reasonable efforts to make quarterly tax distributions at the NYC top rate (about 53%).</t>
  </si>
  <si>
    <t xml:space="preserve">Discretionary.</t>
  </si>
  <si>
    <t xml:space="preserve">First close: 40-50% for four taxable LPs.</t>
  </si>
  <si>
    <t xml:space="preserve">Inconsistent with Meridian’s tax-exempt status and #8.</t>
  </si>
  <si>
    <t xml:space="preserve">Not applicable to a §115 entity; see #8 clarification.</t>
  </si>
  <si>
    <t xml:space="preserve">SL-7</t>
  </si>
  <si>
    <t xml:space="preserve">SL §16.1 (post-IP)</t>
  </si>
  <si>
    <t xml:space="preserve">§7.1(b)</t>
  </si>
  <si>
    <t xml:space="preserve">#3</t>
  </si>
  <si>
    <t xml:space="preserve">Post-Investment Period fee 1.5% to 1.25%</t>
  </si>
  <si>
    <t xml:space="preserve">Post-Investment Period fee of 1.25% of Meridian’s Invested Capital (a new ask not in the LPA markup).</t>
  </si>
  <si>
    <t xml:space="preserve">1.5% of Invested Capital.</t>
  </si>
  <si>
    <t xml:space="preserve">No vintage has a post-Investment Period discount.</t>
  </si>
  <si>
    <t xml:space="preserve">Reluctant on fees.</t>
  </si>
  <si>
    <t xml:space="preserve">About $277,800/yr direct (25bp on Meridian’s ~$111.1M share of $1.6B invested); MFN-electable.</t>
  </si>
  <si>
    <t xml:space="preserve">Post-Investment Period fee unchanged at 1.5%.</t>
  </si>
  <si>
    <t xml:space="preserve">M. Thornfield</t>
  </si>
  <si>
    <t xml:space="preserve">SL-8</t>
  </si>
  <si>
    <t xml:space="preserve">SL §8.6</t>
  </si>
  <si>
    <t xml:space="preserve">§3.6</t>
  </si>
  <si>
    <t xml:space="preserve">#4</t>
  </si>
  <si>
    <t xml:space="preserve">Unilateral additions to restricted sectors</t>
  </si>
  <si>
    <t xml:space="preserve">Meridian may notify new IPS restrictions, and the GP uses commercially reasonable efforts to accommodate them prospectively.</t>
  </si>
  <si>
    <t xml:space="preserve">Open-ended excuse exposure.</t>
  </si>
  <si>
    <t xml:space="preserve">Reject; offer discussion</t>
  </si>
  <si>
    <t xml:space="preserve">Good-faith discussion of any IPS amendment; any new excuse category requires GP consent.</t>
  </si>
  <si>
    <t xml:space="preserve">Accept if a new category is legally mandated (covered by §3.6(a)(i)).</t>
  </si>
  <si>
    <t xml:space="preserve">SL-9</t>
  </si>
  <si>
    <t xml:space="preserve">SL §17.1, §17.8</t>
  </si>
  <si>
    <t xml:space="preserve">§12.4; Exh. E ¶3</t>
  </si>
  <si>
    <t xml:space="preserve">#19, #20</t>
  </si>
  <si>
    <t xml:space="preserve">Transferee benefits; confidentiality of side letter</t>
  </si>
  <si>
    <t xml:space="preserve">Any transferee takes all side-letter benefits. The GP may not disclose the side letter without Meridian’s consent, except as required by law or for administration.</t>
  </si>
  <si>
    <t xml:space="preserve">§12.4: transferee bound by the transferor’s side letter only as the GP agrees. Exhibit E ¶3: redacted disclosure for MFN.</t>
  </si>
  <si>
    <t xml:space="preserve">Exhibit E form.</t>
  </si>
  <si>
    <t xml:space="preserve">Must preserve MFN disclosure and the GP’s ability to disclose to its administrator, auditors, lenders and regulators.</t>
  </si>
  <si>
    <t xml:space="preserve">Benefits pass only to a statutory successor. The GP may disclose the side letter (redacted) for MFN purposes and to its administrator, auditors, counsel, lenders and regulators.</t>
  </si>
  <si>
    <t xml:space="preserve">Management Fee / Carry Sensitivity — Meridian STRS Requests (corrected)</t>
  </si>
  <si>
    <t xml:space="preserve">Blue = input (yellow fill); black = formula; green = link to another tab. Replaces internal term sheet §6 / App. B (see Discrepancies tab items 1-4).</t>
  </si>
  <si>
    <t xml:space="preserve">INPUTS</t>
  </si>
  <si>
    <t xml:space="preserve">Standard Investment Period fee</t>
  </si>
  <si>
    <t xml:space="preserve">Standard post-Investment Period fee</t>
  </si>
  <si>
    <t xml:space="preserve">Meridian STRS commitment ($)</t>
  </si>
  <si>
    <t xml:space="preserve">Target fund size incl. GP ($)</t>
  </si>
  <si>
    <t xml:space="preserve">GP Commitment ($) — not fee-bearing (LPA §3.1)</t>
  </si>
  <si>
    <t xml:space="preserve">Investment Period (years)</t>
  </si>
  <si>
    <t xml:space="preserve">Post-Investment Period (years, term sheet assumption)</t>
  </si>
  <si>
    <t xml:space="preserve">Invested capital at cost, post-IP (term sheet assumption, $)</t>
  </si>
  <si>
    <t xml:space="preserve">MFN-eligible first-close commitments — LPA 150% test ($)</t>
  </si>
  <si>
    <t xml:space="preserve">Osprey 200 + Eastbridge 175 + Great Lakes 125 + Pinnacle 100</t>
  </si>
  <si>
    <t xml:space="preserve">MFN-eligible first-close commitments — side letter equal-or-lesser test ($)</t>
  </si>
  <si>
    <t xml:space="preserve">Osprey + Eastbridge + Great Lakes (commitment ≥ $125M)</t>
  </si>
  <si>
    <t xml:space="preserve">Term sheet cascade base (unsupported by first-close data, $)</t>
  </si>
  <si>
    <t xml:space="preserve">Term sheet / first-close summary row: “8 LPs ≥$100M”; rows show 4 LPs, $600M</t>
  </si>
  <si>
    <t xml:space="preserve">Illustrative net profit multiple on commitments (x)</t>
  </si>
  <si>
    <t xml:space="preserve">DERIVED</t>
  </si>
  <si>
    <t xml:space="preserve">LP commitments at target (fee-bearing) ($)</t>
  </si>
  <si>
    <t xml:space="preserve">Corrected baseline IP fee per year on target incl. GP ($) [term sheet shows 21.6M]</t>
  </si>
  <si>
    <t xml:space="preserve">Corrected baseline IP fees over Investment Period ($) [term sheet: 129.6M]</t>
  </si>
  <si>
    <t xml:space="preserve">Baseline post-IP fees ($)</t>
  </si>
  <si>
    <t xml:space="preserve">Corrected fund-life baseline fees ($) [term sheet: 225.6M]</t>
  </si>
  <si>
    <t xml:space="preserve">Baseline IP fee per year on fee-bearing LP commitments ($)</t>
  </si>
  <si>
    <t xml:space="preserve">Meridian share of post-IP invested capital ($)</t>
  </si>
  <si>
    <t xml:space="preserve">INVESTMENT PERIOD FEE SCENARIOS</t>
  </si>
  <si>
    <t xml:space="preserve">Scenario</t>
  </si>
  <si>
    <t xml:space="preserve">Fee rate</t>
  </si>
  <si>
    <t xml:space="preserve">Discount (bp)</t>
  </si>
  <si>
    <t xml:space="preserve">Meridian direct / yr ($)</t>
  </si>
  <si>
    <t xml:space="preserve">Meridian direct over IP ($)</t>
  </si>
  <si>
    <t xml:space="preserve">Cascade / yr — LPA 150% basis ($)</t>
  </si>
  <si>
    <t xml:space="preserve">Cascade over IP — LPA basis ($)</t>
  </si>
  <si>
    <t xml:space="preserve">Total over IP — LPA basis ($)</t>
  </si>
  <si>
    <t xml:space="preserve">% of corrected IP baseline</t>
  </si>
  <si>
    <t xml:space="preserve">Cascade over IP — equal-or-lesser basis ($)</t>
  </si>
  <si>
    <t xml:space="preserve">Cascade over IP — term sheet $925M basis ($)</t>
  </si>
  <si>
    <t xml:space="preserve">If made fund-wide in LPA: over IP ($)</t>
  </si>
  <si>
    <t xml:space="preserve">GP fallback — Eastbridge Fund III rate</t>
  </si>
  <si>
    <t xml:space="preserve">Fund III floor — Osprey rate</t>
  </si>
  <si>
    <t xml:space="preserve">Meridian request (LPA #3/#9; SL §16.1)</t>
  </si>
  <si>
    <t xml:space="preserve">POST-INVESTMENT PERIOD REQUEST (SL §16.1: 1.50% → 1.25%)</t>
  </si>
  <si>
    <t xml:space="preserve">Item</t>
  </si>
  <si>
    <t xml:space="preserve">Requested rate</t>
  </si>
  <si>
    <t xml:space="preserve">Meridian direct over post-IP ($)</t>
  </si>
  <si>
    <t xml:space="preserve">Cascade / yr — LPA basis ($)</t>
  </si>
  <si>
    <t xml:space="preserve">Cascade over post-IP ($)</t>
  </si>
  <si>
    <t xml:space="preserve">Total post-IP ($)</t>
  </si>
  <si>
    <t xml:space="preserve">Meridian post-IP request</t>
  </si>
  <si>
    <t xml:space="preserve">Full Meridian fee ask (25bp IP + 25bp post-IP), LPA MFN basis, life of fund ($)</t>
  </si>
  <si>
    <t xml:space="preserve">  as % of corrected fund-life baseline</t>
  </si>
  <si>
    <t xml:space="preserve">CARRIED INTEREST (LPA #1/#6; SL §16.2) — illustrative</t>
  </si>
  <si>
    <t xml:space="preserve">Basis ($)</t>
  </si>
  <si>
    <t xml:space="preserve">Carry at 20% ($)</t>
  </si>
  <si>
    <t xml:space="preserve">Carry at 15% ($)</t>
  </si>
  <si>
    <t xml:space="preserve">GP carry forgone ($)</t>
  </si>
  <si>
    <t xml:space="preserve">Meridian only (side letter)</t>
  </si>
  <si>
    <t xml:space="preserve">MFN cascade — LPA 150% basis</t>
  </si>
  <si>
    <t xml:space="preserve">Fund-wide (LPA as marked)</t>
  </si>
  <si>
    <t xml:space="preserve">Basis = commitments × illustrative net profit multiple (B15). Simplified: ignores the catch-up, timing and the preferred return; shows order of magnitude only.</t>
  </si>
  <si>
    <t xml:space="preserve">MFN Exposure Map — who could elect a Meridian STRS side-letter concession?</t>
  </si>
  <si>
    <t xml:space="preserve">First-Close LP</t>
  </si>
  <si>
    <t xml:space="preserve">Commitment ($)</t>
  </si>
  <si>
    <t xml:space="preserve">LP Type</t>
  </si>
  <si>
    <t xml:space="preserve">LPA MFN-eligible (≥ $75M)</t>
  </si>
  <si>
    <t xml:space="preserve">LPA 150% test: can elect Meridian ($125M) letter</t>
  </si>
  <si>
    <t xml:space="preserve">Side letter test (source ≤ own): can elect Meridian letter</t>
  </si>
  <si>
    <t xml:space="preserve">Meridian can elect this LP’s letter (≤ 150% × $125M)</t>
  </si>
  <si>
    <t xml:space="preserve">Relevant provisions in this LP’s side letter</t>
  </si>
  <si>
    <t xml:space="preserve">Calderbank-introduced</t>
  </si>
  <si>
    <t xml:space="preserve">Osprey State Pension Fund</t>
  </si>
  <si>
    <t xml:space="preserve">Public Pension</t>
  </si>
  <si>
    <t xml:space="preserve">LPAC seat; pro-rata co-invest &gt;$50M; FOIA 10 BD; enhanced reporting; transfer NUW; bilateral annual meeting</t>
  </si>
  <si>
    <t xml:space="preserve">N</t>
  </si>
  <si>
    <t xml:space="preserve">Eastbridge Sovereign Wealth Fund</t>
  </si>
  <si>
    <t xml:space="preserve">Sovereign Wealth Fund</t>
  </si>
  <si>
    <t xml:space="preserve">LPAC seat; pro-rata co-invest &gt;$50M; sovereign immunity; transfer NUW; IRR reporting</t>
  </si>
  <si>
    <t xml:space="preserve">Pinnacle Insurance Group</t>
  </si>
  <si>
    <t xml:space="preserve">Insurance</t>
  </si>
  <si>
    <t xml:space="preserve">Pro-rata co-invest &gt;$50M; excuse (tobacco, firearms); insurance reg. reporting; transfer NUW</t>
  </si>
  <si>
    <t xml:space="preserve">Y</t>
  </si>
  <si>
    <t xml:space="preserve">Hargrove Family Office</t>
  </si>
  <si>
    <t xml:space="preserve">Family Office</t>
  </si>
  <si>
    <t xml:space="preserve">Key-man notification; transfer NUW</t>
  </si>
  <si>
    <t xml:space="preserve">Great Lakes Teachers’ Retirement System</t>
  </si>
  <si>
    <t xml:space="preserve">LPAC seat; FOIA 10 BD; annual LP meeting attendance; placement-agent disclosure (identity, fees, political contributions); tax distributions 45%; ESG reporting</t>
  </si>
  <si>
    <t xml:space="preserve">Northvale Endowment Foundation</t>
  </si>
  <si>
    <t xml:space="preserve">Endowment</t>
  </si>
  <si>
    <t xml:space="preserve">Excuse (fossil fuels, private prisons); annual ESG report</t>
  </si>
  <si>
    <t xml:space="preserve">Caledonia Public Employees’ Retirement</t>
  </si>
  <si>
    <t xml:space="preserve">FOIA 15 BD + redaction; placement-agent disclosure (identity, fees, political contributions)</t>
  </si>
  <si>
    <t xml:space="preserve">Ridgeline Corporate Pension</t>
  </si>
  <si>
    <t xml:space="preserve">Corporate Pension</t>
  </si>
  <si>
    <t xml:space="preserve">Tax distributions 40%</t>
  </si>
  <si>
    <t xml:space="preserve">Ironclad Multi-Strategy Fund, L.P.</t>
  </si>
  <si>
    <t xml:space="preserve">Fund of Funds</t>
  </si>
  <si>
    <t xml:space="preserve">Sub-line transparency (fee offset not granted); transfer NUW</t>
  </si>
  <si>
    <t xml:space="preserve">Sterling Municipal Workers Trust</t>
  </si>
  <si>
    <t xml:space="preserve">FOIA 10 BD; placement-agent identity and fees</t>
  </si>
  <si>
    <t xml:space="preserve">Compass Point Capital Advisors</t>
  </si>
  <si>
    <t xml:space="preserve">Transfer NUW</t>
  </si>
  <si>
    <t xml:space="preserve">Blackthorn Healthcare System Retirement Plan</t>
  </si>
  <si>
    <t xml:space="preserve">Excuse (tobacco); tax distributions 40%</t>
  </si>
  <si>
    <t xml:space="preserve">Vandermeer Dutch Pension APF</t>
  </si>
  <si>
    <t xml:space="preserve">Foreign Pension</t>
  </si>
  <si>
    <t xml:space="preserve">LPAC seat; 30% clawback escrow; excuse (controversial weapons, thermal coal); SFDR reporting</t>
  </si>
  <si>
    <t xml:space="preserve">Summerfield Private Wealth Trust</t>
  </si>
  <si>
    <t xml:space="preserve">HNW Trust</t>
  </si>
  <si>
    <t xml:space="preserve">Tax distributions 50%; transfer NUW</t>
  </si>
  <si>
    <t xml:space="preserve">Total first-close LP commitments</t>
  </si>
  <si>
    <t xml:space="preserve">Calderbank-introduced commitments</t>
  </si>
  <si>
    <t xml:space="preserve">Aggregate Calderbank fees at 1.5%</t>
  </si>
  <si>
    <t xml:space="preserve">MFN-eligible to elect Meridian letter — LPA 150% test</t>
  </si>
  <si>
    <t xml:space="preserve">MFN-eligible to elect Meridian letter — side letter equal-or-lesser test</t>
  </si>
  <si>
    <t xml:space="preserve">Number of LPs with commitment ≥ $100M</t>
  </si>
  <si>
    <t xml:space="preserve">Meridian STRS commitment</t>
  </si>
  <si>
    <t xml:space="preserve">Notes: (1) All 14 first-close LPs hold side-letter MFN rights on a whole-letter basis with a 20 business-day window. The LPA itself applies a $75M MFN Threshold and a 150% Comparability Threshold (§8.7(a)-(b), §16.2(a), (e)). Which test governs for a given LP depends on its letter (§16.1); both are shown. (2) Osprey’s letter ($200M) exceeds 150% of $125M, so Meridian cannot elect it under the LPA test. (3) Excluded from MFN: LPAC membership; terms solely for legal/tax/regulatory requirements (§8.7(d)). (4) Second-close LPs are not yet reflected.</t>
  </si>
  <si>
    <t xml:space="preserve">No-Fault Removal (LPA #18 / SL §15) — Coalition Analysis</t>
  </si>
  <si>
    <t xml:space="preserve">“In Interest” = LP commitments excluding the GP and Defaulting LPs (LPA §10.3(c)).</t>
  </si>
  <si>
    <t xml:space="preserve">First-close LP commitments ($)</t>
  </si>
  <si>
    <t xml:space="preserve">Meridian STRS ($)</t>
  </si>
  <si>
    <t xml:space="preserve">LP commitments at target (excl. GP) ($)</t>
  </si>
  <si>
    <t xml:space="preserve">LP commitments after second close if only Meridian added ($)</t>
  </si>
  <si>
    <t xml:space="preserve">Largest coalition: Osprey + Eastbridge + Great Lakes + Pinnacle + Meridian ($)</t>
  </si>
  <si>
    <t xml:space="preserve">Threshold</t>
  </si>
  <si>
    <t xml:space="preserve">Required at target ($)</t>
  </si>
  <si>
    <t xml:space="preserve">Required: first close + Meridian only ($)</t>
  </si>
  <si>
    <t xml:space="preserve">Largest 5-LP coalition sufficient?</t>
  </si>
  <si>
    <t xml:space="preserve">Note</t>
  </si>
  <si>
    <t xml:space="preserve">Threshold %</t>
  </si>
  <si>
    <t xml:space="preserve">60% — Meridian request</t>
  </si>
  <si>
    <t xml:space="preserve">Requested</t>
  </si>
  <si>
    <t xml:space="preserve">66⅔% — For-Cause (LPA §10.3(b))</t>
  </si>
  <si>
    <t xml:space="preserve">Existing for-cause</t>
  </si>
  <si>
    <t xml:space="preserve">75% — Fund IV no-fault (current)</t>
  </si>
  <si>
    <t xml:space="preserve">Hold</t>
  </si>
  <si>
    <t xml:space="preserve">80% — Fund III no-fault</t>
  </si>
  <si>
    <t xml:space="preserve">Historical</t>
  </si>
  <si>
    <t xml:space="preserve">Credit facility covenant: NOT VERIFIED — facility term sheet / credit agreement not in the document set (requested by M. Thornfield). Do not cite to Meridian until confirmed.</t>
  </si>
  <si>
    <t xml:space="preserve">Precedent Matrix — Meridian STRS Requests vs Fund III and Fund IV First Close</t>
  </si>
  <si>
    <t xml:space="preserve">Fund III (2018)</t>
  </si>
  <si>
    <t xml:space="preserve">Fund IV First Close (Mar. 15, 2025)</t>
  </si>
  <si>
    <t xml:space="preserve">Meridian Fund IV Request</t>
  </si>
  <si>
    <t xml:space="preserve">Recommended GP Position</t>
  </si>
  <si>
    <t xml:space="preserve">Management fee</t>
  </si>
  <si>
    <t xml:space="preserve">Osprey 1.85% ($150M); Eastbridge, Pinnacle 1.90%; Cornerstone, Ridgemont 1.90% via MFN; Meridian 2.0% ($75M)</t>
  </si>
  <si>
    <t xml:space="preserve">None (all 14 at 2.0%/1.5%)</t>
  </si>
  <si>
    <t xml:space="preserve">1.75% IP; 1.25% post-IP</t>
  </si>
  <si>
    <t xml:space="preserve">Hold 2.0%; reserved fallback 1.90% IP (floor 1.85%) with M. Thornfield approval</t>
  </si>
  <si>
    <t xml:space="preserve">Carried interest</t>
  </si>
  <si>
    <t xml:space="preserve">20% for all</t>
  </si>
  <si>
    <t xml:space="preserve">15%</t>
  </si>
  <si>
    <t xml:space="preserve">No-fault removal</t>
  </si>
  <si>
    <t xml:space="preserve">80%</t>
  </si>
  <si>
    <t xml:space="preserve">75% (reduced at anchor request); no LP-specific change</t>
  </si>
  <si>
    <t xml:space="preserve">60%</t>
  </si>
  <si>
    <t xml:space="preserve">Hold 75%</t>
  </si>
  <si>
    <t xml:space="preserve">MFN mechanics</t>
  </si>
  <si>
    <t xml:space="preserve">Whole-letter; equal-or-lesser; 20 BD; total cascade $170K/yr</t>
  </si>
  <si>
    <t xml:space="preserve">Whole-letter for all 14; 20 BD</t>
  </si>
  <si>
    <t xml:space="preserve">Provision-by-provision; unredacted; all terms</t>
  </si>
  <si>
    <t xml:space="preserve">Whole-letter per LPA §8.7/§16.2</t>
  </si>
  <si>
    <t xml:space="preserve">Co-investment</t>
  </si>
  <si>
    <t xml:space="preserve">Pro-rata &gt;$50M (Osprey, Eastbridge, Pinnacle; Cornerstone, Ridgemont via MFN)</t>
  </si>
  <si>
    <t xml:space="preserve">Pro-rata &gt;$50M (Osprey, Eastbridge, Pinnacle); no ROFO</t>
  </si>
  <si>
    <t xml:space="preserve">ROFO ≥$25M, overrides allocation policy</t>
  </si>
  <si>
    <t xml:space="preserve">Pro-rata &gt;$50M on first-close terms</t>
  </si>
  <si>
    <t xml:space="preserve">FOIA / public records</t>
  </si>
  <si>
    <t xml:space="preserve">Meridian, Osprey, Grandview, Cornerstone, Lakewood: 10 BD notice + protective treatment</t>
  </si>
  <si>
    <t xml:space="preserve">Osprey, Great Lakes, Sterling 10 BD; Caledonia 15 BD</t>
  </si>
  <si>
    <t xml:space="preserve">Unlimited; no notice; waiver of relief</t>
  </si>
  <si>
    <t xml:space="preserve">Carve-out mirroring MPRSTA §210(b) + 10 BD notice</t>
  </si>
  <si>
    <t xml:space="preserve">Placement agent disclosure</t>
  </si>
  <si>
    <t xml:space="preserve">Own-LP disclosure (Brookfield, Blackstone Hill, Northgate)</t>
  </si>
  <si>
    <t xml:space="preserve">Great Lakes, Caledonia, Sterling: identity and fees</t>
  </si>
  <si>
    <t xml:space="preserve">Fund-wide incl. identities of introduced LPs</t>
  </si>
  <si>
    <t xml:space="preserve">Statutory scope (MPRSTA §207(a)-(b)); aggregate fee only as fallback</t>
  </si>
  <si>
    <t xml:space="preserve">Excuse rights</t>
  </si>
  <si>
    <t xml:space="preserve">Grandview (tobacco/firearms); Sterling (fossil fuels); Meridian: none per tracker</t>
  </si>
  <si>
    <t xml:space="preserve">Pinnacle, Northvale, Blackthorn, Vandermeer</t>
  </si>
  <si>
    <t xml:space="preserve">Four IPS sectors; 25% cap; LPA amendment</t>
  </si>
  <si>
    <t xml:space="preserve">Side letter, four sectors, primary-business test, 15% cap</t>
  </si>
  <si>
    <t xml:space="preserve">Clawback</t>
  </si>
  <si>
    <t xml:space="preserve">No modifications</t>
  </si>
  <si>
    <t xml:space="preserve">Vandermeer 30% escrow</t>
  </si>
  <si>
    <t xml:space="preserve">Gross; 30% escrow; uncapped guarantees</t>
  </si>
  <si>
    <t xml:space="preserve">Net of tax; 30% escrow per Vandermeer</t>
  </si>
  <si>
    <t xml:space="preserve">Meridian, Osprey, Eastbridge, Cornerstone, Vanguard Pacific (+Grandview via MFN)</t>
  </si>
  <si>
    <t xml:space="preserve">Osprey, Eastbridge, Great Lakes, Vandermeer</t>
  </si>
  <si>
    <t xml:space="preserve">Guaranteed seat</t>
  </si>
  <si>
    <t xml:space="preserve">Accept (side letter); excluded from MFN</t>
  </si>
  <si>
    <t xml:space="preserve">Transfer consent NUW</t>
  </si>
  <si>
    <t xml:space="preserve">Most LPs incl. Meridian (30-day response)</t>
  </si>
  <si>
    <t xml:space="preserve">8 of 14 LPs</t>
  </si>
  <si>
    <t xml:space="preserve">NUW; 20 BD; permitted transfers; no fee</t>
  </si>
  <si>
    <t xml:space="preserve">Accept in side letter; 30 days</t>
  </si>
  <si>
    <t xml:space="preserve">Sovereign immunity</t>
  </si>
  <si>
    <t xml:space="preserve">Vanguard Pacific</t>
  </si>
  <si>
    <t xml:space="preserve">Eastbridge</t>
  </si>
  <si>
    <t xml:space="preserve">Reservation</t>
  </si>
  <si>
    <t xml:space="preserve">Accept with obligations acknowledgment</t>
  </si>
  <si>
    <t xml:space="preserve">Sub-line fee offset</t>
  </si>
  <si>
    <t xml:space="preserve">None</t>
  </si>
  <si>
    <t xml:space="preserve">Ironclad requested; not granted (transparency only)</t>
  </si>
  <si>
    <t xml:space="preserve">Exclude from fee base / offset</t>
  </si>
  <si>
    <t xml:space="preserve">Reject; reporting only</t>
  </si>
  <si>
    <t xml:space="preserve">Annual LP meeting</t>
  </si>
  <si>
    <t xml:space="preserve">Great Lakes attendance right; Osprey bilateral meeting</t>
  </si>
  <si>
    <t xml:space="preserve">Mandatory all-LP in-person meeting</t>
  </si>
  <si>
    <t xml:space="preserve">Best-efforts investor day + bilateral review</t>
  </si>
  <si>
    <t xml:space="preserve">Key Person</t>
  </si>
  <si>
    <t xml:space="preserve">Thornfield/Hayworth (either)</t>
  </si>
  <si>
    <t xml:space="preserve">Four persons, any-two trigger</t>
  </si>
  <si>
    <t xml:space="preserve">Retain; notification for Osei/Marchetti</t>
  </si>
  <si>
    <t xml:space="preserve">Document Discrepancies Identified</t>
  </si>
  <si>
    <t xml:space="preserve">#</t>
  </si>
  <si>
    <t xml:space="preserve">Document / Provision</t>
  </si>
  <si>
    <t xml:space="preserve">Issue</t>
  </si>
  <si>
    <t xml:space="preserve">Impact</t>
  </si>
  <si>
    <t xml:space="preserve">Action</t>
  </si>
  <si>
    <t xml:space="preserve">Internal term sheet §6.1 / App. B Table 1</t>
  </si>
  <si>
    <t xml:space="preserve">Investment Period fee shown as $21.6M/yr ($129.6M over 6 years). 2.0% × $1.8B is $36.0M/yr ($216.0M). Fund-life total is $312.0M, not $225.6M. All percentage-of-fee figures in §6.3/§6.5 are overstated as a result.</t>
  </si>
  <si>
    <t xml:space="preserve">Fee concessions look larger relative to revenue than they are; the base for any approval decision is wrong.</t>
  </si>
  <si>
    <t xml:space="preserve">Correct the model (see Fee &amp; MFN Sensitivity tab). Note also that §3.1 excludes the $36M GP Commitment from the fee base, so the base is $1.764B ($35.28M/yr).</t>
  </si>
  <si>
    <t xml:space="preserve">Internal term sheet §6.2 / App. B Table 2</t>
  </si>
  <si>
    <t xml:space="preserve">A 15bp reduction on $125M is shown as $112,500/yr ($675,000 over the IP). The correct figure is $187,500/yr ($1,125,000). $112,500 is 15bp on $75M, Meridian’s Fund III commitment.</t>
  </si>
  <si>
    <t xml:space="preserve">Direct cost of the 1.85% scenario understated by 40%.</t>
  </si>
  <si>
    <t xml:space="preserve">Corrected in tracker and memo.</t>
  </si>
  <si>
    <t xml:space="preserve">Internal term sheet §6.2-6.5 vs markup</t>
  </si>
  <si>
    <t xml:space="preserve">Sensitivity models a 15bp discount. Meridian asks for 25bp in the Investment Period (1.75%) and, in SL §16.1 only, 25bp post-Investment Period (1.25%), plus a 5-point carry cut.</t>
  </si>
  <si>
    <t xml:space="preserve">Exposure understated (M. Thornfield asked for this check).</t>
  </si>
  <si>
    <t xml:space="preserve">Re-run at 10/15/25bp (Sensitivity tab).</t>
  </si>
  <si>
    <t xml:space="preserve">Term sheet §6.3; first-close tracker summary row</t>
  </si>
  <si>
    <t xml:space="preserve">Cascade assumes “8 LPs ≥$100M totaling $925M”. The first-close rows show 4 LPs at $100M or more totaling $600M (Osprey 200, Eastbridge 175, Great Lakes 125, Pinnacle 100), only 3 above $100M. The summary row contradicts the tracker’s own data.</t>
  </si>
  <si>
    <t xml:space="preserve">Cascade overstated by about 54% on current data; second-close LPs could add exposure.</t>
  </si>
  <si>
    <t xml:space="preserve">Use $600M (LPA 150% test) / $500M (side-letter equal-or-lesser test); refresh after second close.</t>
  </si>
  <si>
    <t xml:space="preserve">Meridian LPA markup §6.2(c), “Catch-Up” definition, §6.3(a)</t>
  </si>
  <si>
    <t xml:space="preserve">Carry changed to 15% in §1.1, §6.2(d) and §6.3(a), but the catch-up still runs 80/20 until the GP has 20%.</t>
  </si>
  <si>
    <t xml:space="preserve">Internally inconsistent waterfall (term sheet §6.4 warning).</t>
  </si>
  <si>
    <t xml:space="preserve">Point out in response; carry rejected in any event.</t>
  </si>
  <si>
    <t xml:space="preserve">Meridian LPA markup vs side letter request</t>
  </si>
  <si>
    <t xml:space="preserve">Inconsistent asks: LPAC retention $100M (LPA §9.1(f)) vs $75M (SL §6.4). Annual meeting 120 days (LPA §9.2(e)) vs 180 days (SL §5.5). Reporting 90/45 days (LPA §15.1) vs 120/60 days (SL §5.1-5.2). ESG quarterly (LPA) vs annual (SL §5.4). Excuse test “primary business” (LPA) vs &gt;10% of revenue with broader categories (SL §8.1). ROFO threshold equity “requiring” $25M (LPA) vs aggregate deal equity &gt;$25M (SL §7.1). Tax: no offset (LPA #8) vs mandatory 53% tax distributions (SL §11.1).</t>
  </si>
  <si>
    <t xml:space="preserve">Leverage: in each case adopt the more GP-favourable of Meridian’s own formulations.</t>
  </si>
  <si>
    <t xml:space="preserve">Use in response (“consolidate to the side letter version”).</t>
  </si>
  <si>
    <t xml:space="preserve">Meridian side letter cross-references</t>
  </si>
  <si>
    <t xml:space="preserve">SL §3.2 cites LPA §12.1 for confidentiality (should be Art. XIV/§14.2). §9.1 cites §7.6 for clawback (§6.3). §10.1 cites §9.2 for transfers (§12.1). §16.1 cites §6.1 for fees (§7.1). §16.2 cites §7.3 for carry (§1.1/§6.2). These match Fund III LPA numbering (Fund III tracker: §6.1(a) fee, §11.1 transfer, §12.1 confidentiality).</t>
  </si>
  <si>
    <t xml:space="preserve">Side letter appears built on the Fund III form; operative provisions would point to the wrong Fund IV sections.</t>
  </si>
  <si>
    <t xml:space="preserve">Correct in GP turn of side letter.</t>
  </si>
  <si>
    <t xml:space="preserve">Side letter recital vs LPA §2.1</t>
  </si>
  <si>
    <t xml:space="preserve">Certificate of Limited Partnership filing date: January 14, 2025 (SL) vs January 22, 2025 (LPA §2.1).</t>
  </si>
  <si>
    <t xml:space="preserve">Recital accuracy.</t>
  </si>
  <si>
    <t xml:space="preserve">Conform to LPA.</t>
  </si>
  <si>
    <t xml:space="preserve">Side letter cover letter</t>
  </si>
  <si>
    <t xml:space="preserve">States the GP anticipates a final close no later than September 30, 2025. LPA “Final Closing” is no later than September 15, 2026 (+6 months at GP discretion). Also states MPRSTA amendments enacted “in 2022 and 2024”; the statute compilation shows 2019 enactment and 2023 Amendments.</t>
  </si>
  <si>
    <t xml:space="preserve">LP may be working from outdated assumptions; MFN disclosure timing keys off Final Closing.</t>
  </si>
  <si>
    <t xml:space="preserve">Correct in cover email; confirm with Meridian which MPRSTA text it relies on.</t>
  </si>
  <si>
    <t xml:space="preserve">Fund III history</t>
  </si>
  <si>
    <t xml:space="preserve">SL cover says Meridian committed at the Fund III “final close on September 1, 2018”. Fund III tracker shows admission at the second close, June 1, 2018. LPA markup cover letter says the relationship dates “since 2019”.</t>
  </si>
  <si>
    <t xml:space="preserve">Minor; relevant to the “pre-existing relationship” certification for MPRSTA §207(b).</t>
  </si>
  <si>
    <t xml:space="preserve">Use June 1, 2018 (Fund III records) in the certification.</t>
  </si>
  <si>
    <t xml:space="preserve">Ashbridge &amp; Lowe notice address</t>
  </si>
  <si>
    <t xml:space="preserve">Markup cover: 450 Lexington Ave, 40th Fl. Side letter: 599 Madison Ave, 22nd Fl.</t>
  </si>
  <si>
    <t xml:space="preserve">Notice provisions.</t>
  </si>
  <si>
    <t xml:space="preserve">Confirm the correct address in SL §17.7.</t>
  </si>
  <si>
    <t xml:space="preserve">Internal term sheet §2.2 / App. A</t>
  </si>
  <si>
    <t xml:space="preserve">Investment Period and Term stated as running “from final close”; LPA defines both from the First Closing (March 15, 2025).</t>
  </si>
  <si>
    <t xml:space="preserve">Internal summary error; LPA controls.</t>
  </si>
  <si>
    <t xml:space="preserve">Correct term sheet.</t>
  </si>
  <si>
    <t xml:space="preserve">Internal term sheet §2.5 / App. A</t>
  </si>
  <si>
    <t xml:space="preserve">Personal clawback guarantees from Thornfield and Hayworth only, with 3-year survival. LPA §6.3(c) names Thornfield, Hayworth, Osei and Marchetti, and the LPA has no 3-year survival clause.</t>
  </si>
  <si>
    <t xml:space="preserve">Principals may not appreciate that Osei and Marchetti are already guarantors.</t>
  </si>
  <si>
    <t xml:space="preserve">Confirm with GP; LPA controls.</t>
  </si>
  <si>
    <t xml:space="preserve">Internal term sheet §2.12</t>
  </si>
  <si>
    <t xml:space="preserve">Describes LP transfer consent as “not unreasonably withheld”; LPA §12.1(a) is sole and absolute discretion.</t>
  </si>
  <si>
    <t xml:space="preserve">Affects how #19 is characterised.</t>
  </si>
  <si>
    <t xml:space="preserve">Internal term sheet §2.6</t>
  </si>
  <si>
    <t xml:space="preserve">Key Person suspension may be lifted by the LPAC or a majority in interest; LPA §9.3(c)-(d) gives the vote to the LPAC only.</t>
  </si>
  <si>
    <t xml:space="preserve">Internal summary error.</t>
  </si>
  <si>
    <t xml:space="preserve">Co-investment fee/carry precedent</t>
  </si>
  <si>
    <t xml:space="preserve">First-close tracker: standard fees and carry apply to Osprey, Eastbridge and Pinnacle co-investments. Term sheet §5: no-fee/no-carry. Fund III tracker SL-002/012/018: fee-free and carry-free co-investments. Term sheet §4: no Fund III co-investment fee waivers.</t>
  </si>
  <si>
    <t xml:space="preserve">Cannot safely offer co-investment economics to Meridian until resolved; MFN parity.</t>
  </si>
  <si>
    <t xml:space="preserve">Pull executed first-close side letters (§4(a)).</t>
  </si>
  <si>
    <t xml:space="preserve">First-close tracker</t>
  </si>
  <si>
    <t xml:space="preserve">Cites “LPA §8.05” for LPAC approval of the co-investment policy; the Fund IV LPA provision is §9.6 (and §4.3(b)).</t>
  </si>
  <si>
    <t xml:space="preserve">Cross-reference error.</t>
  </si>
  <si>
    <t xml:space="preserve">Correct tracker.</t>
  </si>
  <si>
    <t xml:space="preserve">LPA §8.7(b)/§16.2(c) gives a 30-day election window and a 150% Comparability Threshold. First-close side letters use 20 business days and an “equal or lesser commitment” test.</t>
  </si>
  <si>
    <t xml:space="preserve">Determines who can elect a Meridian concession (Pinnacle eligible only under the LPA test).</t>
  </si>
  <si>
    <t xml:space="preserve">Model both (MFN Exposure Map); clarify which governs for each LP under §16.1.</t>
  </si>
  <si>
    <t xml:space="preserve">M. Thornfield email vs Fund III tracker</t>
  </si>
  <si>
    <t xml:space="preserve">Email says Meridian received a (narrower) excuse accommodation in Fund III and used different counsel then. Fund III tracker shows no excuse right for Meridian (Grandview and Sterling had them) and lists Haverstraw Pierce as Meridian’s (and Osprey’s) Fund III counsel.</t>
  </si>
  <si>
    <t xml:space="preserve">Avoid citing incorrect precedent on the April 28-29 call.</t>
  </si>
  <si>
    <t xml:space="preserve">Confirm with GP before the call.</t>
  </si>
  <si>
    <t xml:space="preserve">Credit facility term sheet</t>
  </si>
  <si>
    <t xml:space="preserve">Requested by M. Thornfield to test whether 60% removal breaches a lender covenant; not included in the documents provided.</t>
  </si>
  <si>
    <t xml:space="preserve">Lender-covenant argument is unverified.</t>
  </si>
  <si>
    <t xml:space="preserve">Obtain facility term sheet/credit agreement; do not cite to Meridian until confirmed.</t>
  </si>
  <si>
    <t xml:space="preserve">Fund III tracker MFN tab</t>
  </si>
  <si>
    <t xml:space="preserve">Internal inconsistencies: summary says 5 elections exercised / 9 declined but lists 13 declines among 18 entries. Ridgemont ($90M) is described as eligible to elect Pinnacle’s ($100M) letter despite the “equal or lesser commitment” test.</t>
  </si>
  <si>
    <t xml:space="preserve">Limited reliance on the tracker for granular MFN mechanics.</t>
  </si>
  <si>
    <t xml:space="preserve">Rely on executed Fund III letters if needed.</t>
  </si>
  <si>
    <t xml:space="preserve">MPRSTA compilation header</t>
  </si>
  <si>
    <t xml:space="preserve">Refers to the GP as “Thornfield Capital Advisors LLC” and to “Calderbank Advisory Group LLC”. The LPA uses Thornfield Capital Partners LLC and “Calderbank Advisory Group”.</t>
  </si>
  <si>
    <t xml:space="preserve">Entity-name accuracy in certifications.</t>
  </si>
  <si>
    <t xml:space="preserve">Use LPA names.</t>
  </si>
  <si>
    <t xml:space="preserve">Open Items / Next Steps</t>
  </si>
  <si>
    <t xml:space="preserve">Timing</t>
  </si>
  <si>
    <t xml:space="preserve">Credit facility / subscription line documents</t>
  </si>
  <si>
    <t xml:space="preserve">Confirm any GP-removal or change-of-control covenant and the minimum removal threshold acceptable to the lender (#18).</t>
  </si>
  <si>
    <t xml:space="preserve">A&amp;L (DK)</t>
  </si>
  <si>
    <t xml:space="preserve">Before May 5-6 strategy call</t>
  </si>
  <si>
    <t xml:space="preserve">Executed first-close side letters</t>
  </si>
  <si>
    <t xml:space="preserve">Confirm co-investment fee/carry terms (Osprey, Eastbridge, Pinnacle §4(a)), the MFN formulation, and whether any placement-agent disclosure (Great Lakes, Caledonia, Sterling) includes LP attribution that Meridian could elect via MFN.</t>
  </si>
  <si>
    <t xml:space="preserve">Before response to Haverstraw Pierce</t>
  </si>
  <si>
    <t xml:space="preserve">Calderbank engagement letter</t>
  </si>
  <si>
    <t xml:space="preserve">Confirm it permits Meridian-specific non-introduction certification and aggregate-fee disclosure under MPRSTA §207(c); obtain Calderbank consent for the aggregate-fee fallback.</t>
  </si>
  <si>
    <t xml:space="preserve">GP / A&amp;L</t>
  </si>
  <si>
    <t xml:space="preserve">Before May 9</t>
  </si>
  <si>
    <t xml:space="preserve">Fee-concession authority</t>
  </si>
  <si>
    <t xml:space="preserve">M. Thornfield decision on whether to hold 2.0% or authorise a 1.90% fallback (floor 1.85%), and the package conditions.</t>
  </si>
  <si>
    <t xml:space="preserve">May 5-6 call</t>
  </si>
  <si>
    <t xml:space="preserve">Second-close pipeline</t>
  </si>
  <si>
    <t xml:space="preserve">Identify other second-close LPs with commitments of $83.3M or more who could MFN-elect a Meridian concession; refresh cascade.</t>
  </si>
  <si>
    <t xml:space="preserve">GP IR</t>
  </si>
  <si>
    <t xml:space="preserve">Before final economics</t>
  </si>
  <si>
    <t xml:space="preserve">Meridian IPS</t>
  </si>
  <si>
    <t xml:space="preserve">Obtain the current Meridian Public Retirement System Investment Policy Statement to confirm the four restricted sectors and definitions (#4).</t>
  </si>
  <si>
    <t xml:space="preserve">With response</t>
  </si>
  <si>
    <t xml:space="preserve">LPAC capacity</t>
  </si>
  <si>
    <t xml:space="preserve">Confirm LPAC seat count (7; 4 filled by Osprey, Eastbridge, Great Lakes, Vandermeer) and remaining seats for second-close LPs.</t>
  </si>
  <si>
    <t xml:space="preserve">GP</t>
  </si>
  <si>
    <t xml:space="preserve">Before response</t>
  </si>
  <si>
    <t xml:space="preserve">Fund III precedent facts</t>
  </si>
  <si>
    <t xml:space="preserve">Confirm whether Meridian had any Fund III excuse accommodation and its Fund III counsel, before the April 28-29 principal call.</t>
  </si>
  <si>
    <t xml:space="preserve">April 28</t>
  </si>
  <si>
    <t xml:space="preserve">Internal term sheet corrections</t>
  </si>
  <si>
    <t xml:space="preserve">Correct fee baseline, 15bp math, cascade base, IP/Term start dates, guarantor list, transfer standard, Key Person reinstatement.</t>
  </si>
  <si>
    <t xml:space="preserve">GP finance / A&amp;L</t>
  </si>
  <si>
    <t xml:space="preserve">Before circulation</t>
  </si>
</sst>
</file>

<file path=xl/styles.xml><?xml version="1.0" encoding="utf-8"?>
<styleSheet xmlns="http://schemas.openxmlformats.org/spreadsheetml/2006/main">
  <numFmts count="7">
    <numFmt numFmtId="164" formatCode="General"/>
    <numFmt numFmtId="165" formatCode="General"/>
    <numFmt numFmtId="166" formatCode="0.00%"/>
    <numFmt numFmtId="167" formatCode="#,##0"/>
    <numFmt numFmtId="168" formatCode="0"/>
    <numFmt numFmtId="169" formatCode="0.0\x"/>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Calibri"/>
      <family val="0"/>
      <charset val="1"/>
    </font>
    <font>
      <i val="true"/>
      <sz val="9"/>
      <name val="Cambria"/>
      <family val="0"/>
      <charset val="1"/>
    </font>
    <font>
      <b val="true"/>
      <sz val="10"/>
      <name val="Calibri"/>
      <family val="0"/>
      <charset val="1"/>
    </font>
    <font>
      <b val="true"/>
      <sz val="10"/>
      <color rgb="FFFFFFFF"/>
      <name val="Calibri"/>
      <family val="0"/>
      <charset val="1"/>
    </font>
    <font>
      <sz val="9"/>
      <name val="Calibri"/>
      <family val="0"/>
      <charset val="1"/>
    </font>
    <font>
      <b val="true"/>
      <sz val="9"/>
      <name val="Calibri"/>
      <family val="0"/>
      <charset val="1"/>
    </font>
    <font>
      <b val="true"/>
      <sz val="9"/>
      <color rgb="FFC00000"/>
      <name val="Calibri"/>
      <family val="0"/>
      <charset val="1"/>
    </font>
    <font>
      <sz val="10"/>
      <color rgb="FF0000FF"/>
      <name val="Calibri"/>
      <family val="0"/>
      <charset val="1"/>
    </font>
    <font>
      <sz val="10"/>
      <color rgb="FF008000"/>
      <name val="Calibri"/>
      <family val="0"/>
      <charset val="1"/>
    </font>
    <font>
      <b val="true"/>
      <sz val="11"/>
      <color rgb="FFC00000"/>
      <name val="Cambria"/>
      <family val="0"/>
      <charset val="1"/>
    </font>
    <font>
      <sz val="9"/>
      <name val="Cambria"/>
      <family val="0"/>
      <charset val="1"/>
    </font>
  </fonts>
  <fills count="9">
    <fill>
      <patternFill patternType="none"/>
    </fill>
    <fill>
      <patternFill patternType="gray125"/>
    </fill>
    <fill>
      <patternFill patternType="solid">
        <fgColor rgb="FF1F3864"/>
        <bgColor rgb="FF333333"/>
      </patternFill>
    </fill>
    <fill>
      <patternFill patternType="solid">
        <fgColor rgb="FFA9D08E"/>
        <bgColor rgb="FFC6E0B4"/>
      </patternFill>
    </fill>
    <fill>
      <patternFill patternType="solid">
        <fgColor rgb="FFC6E0B4"/>
        <bgColor rgb="FFD9D9D9"/>
      </patternFill>
    </fill>
    <fill>
      <patternFill patternType="solid">
        <fgColor rgb="FFFFE699"/>
        <bgColor rgb="FFFFF2CC"/>
      </patternFill>
    </fill>
    <fill>
      <patternFill patternType="solid">
        <fgColor rgb="FFF8CBAD"/>
        <bgColor rgb="FFFFE699"/>
      </patternFill>
    </fill>
    <fill>
      <patternFill patternType="solid">
        <fgColor rgb="FFD9D9D9"/>
        <bgColor rgb="FFC6E0B4"/>
      </patternFill>
    </fill>
    <fill>
      <patternFill patternType="solid">
        <fgColor rgb="FFFFF2CC"/>
        <bgColor rgb="FFFFE6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BFBFBF"/>
      </top>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5" fontId="6" fillId="0" borderId="2"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11" fillId="8" borderId="0" xfId="0" applyFont="true" applyBorder="false" applyAlignment="false" applyProtection="false">
      <alignment horizontal="general" vertical="bottom" textRotation="0" wrapText="false" indent="0" shrinkToFit="false"/>
      <protection locked="true" hidden="false"/>
    </xf>
    <xf numFmtId="167" fontId="11" fillId="8" borderId="0" xfId="0" applyFont="true" applyBorder="false" applyAlignment="false" applyProtection="false">
      <alignment horizontal="general" vertical="bottom" textRotation="0" wrapText="false" indent="0" shrinkToFit="false"/>
      <protection locked="true" hidden="false"/>
    </xf>
    <xf numFmtId="168" fontId="11" fillId="8"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11" fillId="8"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A9D08E"/>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A9D08E"/>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0"/>
    <col collapsed="false" customWidth="true" hidden="false" outlineLevel="0" max="2" min="2" style="0" width="26"/>
    <col collapsed="false" customWidth="true" hidden="false" outlineLevel="0" max="3" min="3" style="0" width="22"/>
    <col collapsed="false" customWidth="true" hidden="false" outlineLevel="0" max="4" min="4" style="0" width="10"/>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row>
    <row r="3" customFormat="false" ht="39.75" hidden="false" customHeight="true" outlineLevel="0" collapsed="false">
      <c r="A3" s="2" t="s">
        <v>2</v>
      </c>
      <c r="B3" s="2"/>
      <c r="C3" s="2"/>
      <c r="D3" s="2"/>
      <c r="E3" s="2"/>
      <c r="F3" s="2"/>
    </row>
    <row r="5" customFormat="false" ht="15" hidden="false" customHeight="false" outlineLevel="0" collapsed="false">
      <c r="A5" s="3" t="s">
        <v>3</v>
      </c>
    </row>
    <row r="6" customFormat="false" ht="15" hidden="false" customHeight="false" outlineLevel="0" collapsed="false">
      <c r="A6" s="0" t="s">
        <v>4</v>
      </c>
      <c r="B6" s="0" t="s">
        <v>5</v>
      </c>
    </row>
    <row r="7" customFormat="false" ht="15" hidden="false" customHeight="false" outlineLevel="0" collapsed="false">
      <c r="A7" s="0" t="s">
        <v>6</v>
      </c>
      <c r="B7" s="0" t="s">
        <v>7</v>
      </c>
    </row>
    <row r="8" customFormat="false" ht="15" hidden="false" customHeight="false" outlineLevel="0" collapsed="false">
      <c r="A8" s="0" t="s">
        <v>8</v>
      </c>
      <c r="B8" s="0" t="s">
        <v>9</v>
      </c>
    </row>
    <row r="9" customFormat="false" ht="15" hidden="false" customHeight="false" outlineLevel="0" collapsed="false">
      <c r="A9" s="0" t="s">
        <v>10</v>
      </c>
      <c r="B9" s="0" t="s">
        <v>11</v>
      </c>
    </row>
    <row r="10" customFormat="false" ht="15" hidden="false" customHeight="false" outlineLevel="0" collapsed="false">
      <c r="A10" s="0" t="s">
        <v>12</v>
      </c>
      <c r="B10" s="0" t="s">
        <v>13</v>
      </c>
    </row>
    <row r="12" customFormat="false" ht="15" hidden="false" customHeight="false" outlineLevel="0" collapsed="false">
      <c r="A12" s="3" t="s">
        <v>14</v>
      </c>
    </row>
    <row r="13" customFormat="false" ht="15" hidden="false" customHeight="false" outlineLevel="0" collapsed="false">
      <c r="A13" s="4" t="s">
        <v>15</v>
      </c>
      <c r="B13" s="4" t="s">
        <v>16</v>
      </c>
      <c r="C13" s="4" t="s">
        <v>17</v>
      </c>
      <c r="D13" s="4" t="s">
        <v>18</v>
      </c>
    </row>
    <row r="14" customFormat="false" ht="15" hidden="false" customHeight="false" outlineLevel="0" collapsed="false">
      <c r="A14" s="5" t="s">
        <v>19</v>
      </c>
      <c r="B14" s="6" t="n">
        <f aca="false">COUNTIFS('Comment Tracker'!$L$2:$L$33,A14,'Comment Tracker'!$B$2:$B$33,"LPA Markup")</f>
        <v>2</v>
      </c>
      <c r="C14" s="6" t="n">
        <f aca="false">COUNTIFS('Comment Tracker'!$L$2:$L$33,A14,'Comment Tracker'!$B$2:$B$33,"Side Letter")</f>
        <v>0</v>
      </c>
      <c r="D14" s="6" t="n">
        <f aca="false">B14+C14</f>
        <v>2</v>
      </c>
    </row>
    <row r="15" customFormat="false" ht="15" hidden="false" customHeight="false" outlineLevel="0" collapsed="false">
      <c r="A15" s="7" t="s">
        <v>20</v>
      </c>
      <c r="B15" s="6" t="n">
        <f aca="false">COUNTIFS('Comment Tracker'!$L$2:$L$33,A15,'Comment Tracker'!$B$2:$B$33,"LPA Markup")</f>
        <v>4</v>
      </c>
      <c r="C15" s="6" t="n">
        <f aca="false">COUNTIFS('Comment Tracker'!$L$2:$L$33,A15,'Comment Tracker'!$B$2:$B$33,"Side Letter")</f>
        <v>3</v>
      </c>
      <c r="D15" s="6" t="n">
        <f aca="false">B15+C15</f>
        <v>7</v>
      </c>
    </row>
    <row r="16" customFormat="false" ht="15" hidden="false" customHeight="false" outlineLevel="0" collapsed="false">
      <c r="A16" s="8" t="s">
        <v>21</v>
      </c>
      <c r="B16" s="6" t="n">
        <f aca="false">COUNTIFS('Comment Tracker'!$L$2:$L$33,A16,'Comment Tracker'!$B$2:$B$33,"LPA Markup")</f>
        <v>9</v>
      </c>
      <c r="C16" s="6" t="n">
        <f aca="false">COUNTIFS('Comment Tracker'!$L$2:$L$33,A16,'Comment Tracker'!$B$2:$B$33,"Side Letter")</f>
        <v>1</v>
      </c>
      <c r="D16" s="6" t="n">
        <f aca="false">B16+C16</f>
        <v>10</v>
      </c>
    </row>
    <row r="17" customFormat="false" ht="15" hidden="false" customHeight="false" outlineLevel="0" collapsed="false">
      <c r="A17" s="9" t="s">
        <v>22</v>
      </c>
      <c r="B17" s="6" t="n">
        <f aca="false">COUNTIFS('Comment Tracker'!$L$2:$L$33,A17,'Comment Tracker'!$B$2:$B$33,"LPA Markup")</f>
        <v>8</v>
      </c>
      <c r="C17" s="6" t="n">
        <f aca="false">COUNTIFS('Comment Tracker'!$L$2:$L$33,A17,'Comment Tracker'!$B$2:$B$33,"Side Letter")</f>
        <v>4</v>
      </c>
      <c r="D17" s="6" t="n">
        <f aca="false">B17+C17</f>
        <v>12</v>
      </c>
    </row>
    <row r="18" customFormat="false" ht="15" hidden="false" customHeight="false" outlineLevel="0" collapsed="false">
      <c r="A18" s="10" t="s">
        <v>23</v>
      </c>
      <c r="B18" s="6" t="n">
        <f aca="false">COUNTIFS('Comment Tracker'!$L$2:$L$33,A18,'Comment Tracker'!$B$2:$B$33,"LPA Markup")</f>
        <v>0</v>
      </c>
      <c r="C18" s="6" t="n">
        <f aca="false">COUNTIFS('Comment Tracker'!$L$2:$L$33,A18,'Comment Tracker'!$B$2:$B$33,"Side Letter")</f>
        <v>1</v>
      </c>
      <c r="D18" s="6" t="n">
        <f aca="false">B18+C18</f>
        <v>1</v>
      </c>
    </row>
    <row r="19" customFormat="false" ht="15" hidden="false" customHeight="false" outlineLevel="0" collapsed="false">
      <c r="A19" s="3" t="s">
        <v>18</v>
      </c>
      <c r="B19" s="11" t="n">
        <f aca="false">SUM(B14:B18)</f>
        <v>23</v>
      </c>
      <c r="C19" s="11" t="n">
        <f aca="false">SUM(C14:C18)</f>
        <v>9</v>
      </c>
      <c r="D19" s="11" t="n">
        <f aca="false">SUM(D14:D18)</f>
        <v>32</v>
      </c>
    </row>
    <row r="21" customFormat="false" ht="15" hidden="false" customHeight="false" outlineLevel="0" collapsed="false">
      <c r="A21" s="3" t="s">
        <v>24</v>
      </c>
    </row>
    <row r="22" customFormat="false" ht="15" hidden="false" customHeight="false" outlineLevel="0" collapsed="false">
      <c r="A22" s="0" t="s">
        <v>25</v>
      </c>
    </row>
    <row r="23" customFormat="false" ht="15" hidden="false" customHeight="false" outlineLevel="0" collapsed="false">
      <c r="A23" s="0" t="s">
        <v>26</v>
      </c>
    </row>
    <row r="24" customFormat="false" ht="15" hidden="false" customHeight="false" outlineLevel="0" collapsed="false">
      <c r="A24" s="0" t="s">
        <v>27</v>
      </c>
    </row>
    <row r="25" customFormat="false" ht="15" hidden="false" customHeight="false" outlineLevel="0" collapsed="false">
      <c r="A25" s="0" t="s">
        <v>28</v>
      </c>
    </row>
    <row r="26" customFormat="false" ht="15" hidden="false" customHeight="false" outlineLevel="0" collapsed="false">
      <c r="A26" s="0" t="s">
        <v>29</v>
      </c>
    </row>
    <row r="27" customFormat="false" ht="15" hidden="false" customHeight="false" outlineLevel="0" collapsed="false">
      <c r="A27" s="0" t="s">
        <v>30</v>
      </c>
    </row>
    <row r="29" customFormat="false" ht="15" hidden="false" customHeight="false" outlineLevel="0" collapsed="false">
      <c r="A29" s="3" t="s">
        <v>31</v>
      </c>
    </row>
    <row r="30" customFormat="false" ht="15" hidden="false" customHeight="false" outlineLevel="0" collapsed="false">
      <c r="A30" s="0" t="s">
        <v>32</v>
      </c>
    </row>
    <row r="31" customFormat="false" ht="15" hidden="false" customHeight="false" outlineLevel="0" collapsed="false">
      <c r="A31" s="0" t="s">
        <v>33</v>
      </c>
    </row>
    <row r="32" customFormat="false" ht="15" hidden="false" customHeight="false" outlineLevel="0" collapsed="false">
      <c r="A32" s="0" t="s">
        <v>34</v>
      </c>
    </row>
    <row r="33" customFormat="false" ht="15" hidden="false" customHeight="false" outlineLevel="0" collapsed="false">
      <c r="A33" s="0" t="s">
        <v>35</v>
      </c>
    </row>
    <row r="34" customFormat="false" ht="15" hidden="false" customHeight="false" outlineLevel="0" collapsed="false">
      <c r="A34" s="0" t="s">
        <v>36</v>
      </c>
    </row>
    <row r="35" customFormat="false" ht="15" hidden="false" customHeight="false" outlineLevel="0" collapsed="false">
      <c r="A35" s="0" t="s">
        <v>37</v>
      </c>
    </row>
    <row r="36" customFormat="false" ht="15" hidden="false" customHeight="false" outlineLevel="0" collapsed="false">
      <c r="A36" s="0" t="s">
        <v>38</v>
      </c>
    </row>
    <row r="37" customFormat="false" ht="15" hidden="false" customHeight="false" outlineLevel="0" collapsed="false">
      <c r="A37" s="0" t="s">
        <v>39</v>
      </c>
    </row>
  </sheetData>
  <mergeCells count="2">
    <mergeCell ref="A2: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12"/>
    <col collapsed="false" customWidth="true" hidden="false" outlineLevel="0" max="4" min="4" style="0" width="18"/>
    <col collapsed="false" customWidth="true" hidden="false" outlineLevel="0" max="5" min="5" style="0" width="16"/>
    <col collapsed="false" customWidth="true" hidden="false" outlineLevel="0" max="6" min="6" style="0" width="24"/>
    <col collapsed="false" customWidth="true" hidden="false" outlineLevel="0" max="7" min="7" style="0" width="48"/>
    <col collapsed="false" customWidth="true" hidden="false" outlineLevel="0" max="8" min="8" style="0" width="36"/>
    <col collapsed="false" customWidth="true" hidden="false" outlineLevel="0" max="9" min="9" style="0" width="48"/>
    <col collapsed="false" customWidth="true" hidden="false" outlineLevel="0" max="10" min="10" style="0" width="32"/>
    <col collapsed="false" customWidth="true" hidden="false" outlineLevel="0" max="11" min="11" style="0" width="44"/>
    <col collapsed="false" customWidth="true" hidden="false" outlineLevel="0" max="12" min="12" style="0" width="14"/>
    <col collapsed="false" customWidth="true" hidden="false" outlineLevel="0" max="13" min="13" style="0" width="22"/>
    <col collapsed="false" customWidth="true" hidden="false" outlineLevel="0" max="14" min="14" style="0" width="60"/>
    <col collapsed="false" customWidth="true" hidden="false" outlineLevel="0" max="15" min="15" style="0" width="40"/>
    <col collapsed="false" customWidth="true" hidden="false" outlineLevel="0" max="16" min="16" style="0" width="16"/>
    <col collapsed="false" customWidth="true" hidden="false" outlineLevel="0" max="17" min="17" style="0" width="12"/>
    <col collapsed="false" customWidth="true" hidden="false" outlineLevel="0" max="18" min="18" style="0" width="18"/>
    <col collapsed="false" customWidth="true" hidden="false" outlineLevel="0" max="19" min="19" style="0" width="14"/>
    <col collapsed="false" customWidth="true" hidden="false" outlineLevel="0" max="20" min="20" style="0" width="24"/>
  </cols>
  <sheetData>
    <row r="1" customFormat="false" ht="31.5" hidden="false" customHeight="true" outlineLevel="0" collapsed="false">
      <c r="A1" s="4" t="s">
        <v>40</v>
      </c>
      <c r="B1" s="4" t="s">
        <v>41</v>
      </c>
      <c r="C1" s="4" t="s">
        <v>42</v>
      </c>
      <c r="D1" s="4" t="s">
        <v>43</v>
      </c>
      <c r="E1" s="4" t="s">
        <v>44</v>
      </c>
      <c r="F1" s="4" t="s">
        <v>45</v>
      </c>
      <c r="G1" s="4" t="s">
        <v>46</v>
      </c>
      <c r="H1" s="4" t="s">
        <v>47</v>
      </c>
      <c r="I1" s="4" t="s">
        <v>48</v>
      </c>
      <c r="J1" s="4" t="s">
        <v>49</v>
      </c>
      <c r="K1" s="4" t="s">
        <v>50</v>
      </c>
      <c r="L1" s="4" t="s">
        <v>15</v>
      </c>
      <c r="M1" s="4" t="s">
        <v>51</v>
      </c>
      <c r="N1" s="4" t="s">
        <v>52</v>
      </c>
      <c r="O1" s="4" t="s">
        <v>53</v>
      </c>
      <c r="P1" s="4" t="s">
        <v>54</v>
      </c>
      <c r="Q1" s="4" t="s">
        <v>55</v>
      </c>
      <c r="R1" s="4" t="s">
        <v>56</v>
      </c>
      <c r="S1" s="4" t="s">
        <v>57</v>
      </c>
      <c r="T1" s="4" t="s">
        <v>58</v>
      </c>
    </row>
    <row r="2" customFormat="false" ht="74.6" hidden="false" customHeight="false" outlineLevel="0" collapsed="false">
      <c r="A2" s="12" t="s">
        <v>59</v>
      </c>
      <c r="B2" s="12" t="s">
        <v>60</v>
      </c>
      <c r="C2" s="12" t="s">
        <v>61</v>
      </c>
      <c r="D2" s="12" t="s">
        <v>62</v>
      </c>
      <c r="E2" s="12" t="s">
        <v>63</v>
      </c>
      <c r="F2" s="12" t="s">
        <v>64</v>
      </c>
      <c r="G2" s="12" t="s">
        <v>65</v>
      </c>
      <c r="H2" s="12" t="s">
        <v>66</v>
      </c>
      <c r="I2" s="12" t="s">
        <v>67</v>
      </c>
      <c r="J2" s="12" t="s">
        <v>68</v>
      </c>
      <c r="K2" s="12" t="s">
        <v>69</v>
      </c>
      <c r="L2" s="13" t="s">
        <v>22</v>
      </c>
      <c r="M2" s="12" t="s">
        <v>22</v>
      </c>
      <c r="N2" s="12" t="s">
        <v>70</v>
      </c>
      <c r="O2" s="12" t="s">
        <v>71</v>
      </c>
      <c r="P2" s="12" t="s">
        <v>72</v>
      </c>
      <c r="Q2" s="14" t="s">
        <v>73</v>
      </c>
      <c r="R2" s="12" t="s">
        <v>74</v>
      </c>
      <c r="S2" s="12" t="s">
        <v>75</v>
      </c>
      <c r="T2" s="12"/>
    </row>
    <row r="3" customFormat="false" ht="32.8" hidden="false" customHeight="false" outlineLevel="0" collapsed="false">
      <c r="A3" s="12" t="s">
        <v>76</v>
      </c>
      <c r="B3" s="12" t="s">
        <v>60</v>
      </c>
      <c r="C3" s="12" t="s">
        <v>77</v>
      </c>
      <c r="D3" s="12" t="s">
        <v>78</v>
      </c>
      <c r="E3" s="12" t="s">
        <v>79</v>
      </c>
      <c r="F3" s="12" t="s">
        <v>80</v>
      </c>
      <c r="G3" s="12" t="s">
        <v>81</v>
      </c>
      <c r="H3" s="12" t="s">
        <v>82</v>
      </c>
      <c r="I3" s="12" t="s">
        <v>83</v>
      </c>
      <c r="J3" s="12" t="s">
        <v>84</v>
      </c>
      <c r="K3" s="12" t="s">
        <v>85</v>
      </c>
      <c r="L3" s="13" t="s">
        <v>22</v>
      </c>
      <c r="M3" s="12" t="s">
        <v>86</v>
      </c>
      <c r="N3" s="12" t="s">
        <v>87</v>
      </c>
      <c r="O3" s="12" t="s">
        <v>88</v>
      </c>
      <c r="P3" s="12" t="s">
        <v>89</v>
      </c>
      <c r="Q3" s="12" t="s">
        <v>90</v>
      </c>
      <c r="R3" s="12" t="s">
        <v>91</v>
      </c>
      <c r="S3" s="12" t="s">
        <v>75</v>
      </c>
      <c r="T3" s="12"/>
    </row>
    <row r="4" customFormat="false" ht="85.05" hidden="false" customHeight="false" outlineLevel="0" collapsed="false">
      <c r="A4" s="12" t="s">
        <v>92</v>
      </c>
      <c r="B4" s="12" t="s">
        <v>60</v>
      </c>
      <c r="C4" s="12" t="s">
        <v>93</v>
      </c>
      <c r="D4" s="12" t="s">
        <v>94</v>
      </c>
      <c r="E4" s="12" t="s">
        <v>95</v>
      </c>
      <c r="F4" s="12" t="s">
        <v>96</v>
      </c>
      <c r="G4" s="12" t="s">
        <v>97</v>
      </c>
      <c r="H4" s="12" t="s">
        <v>98</v>
      </c>
      <c r="I4" s="12" t="s">
        <v>99</v>
      </c>
      <c r="J4" s="12" t="s">
        <v>100</v>
      </c>
      <c r="K4" s="12" t="s">
        <v>101</v>
      </c>
      <c r="L4" s="13" t="s">
        <v>22</v>
      </c>
      <c r="M4" s="12" t="s">
        <v>102</v>
      </c>
      <c r="N4" s="12" t="s">
        <v>103</v>
      </c>
      <c r="O4" s="12" t="s">
        <v>104</v>
      </c>
      <c r="P4" s="12" t="s">
        <v>105</v>
      </c>
      <c r="Q4" s="12" t="s">
        <v>106</v>
      </c>
      <c r="R4" s="12" t="s">
        <v>74</v>
      </c>
      <c r="S4" s="12" t="s">
        <v>75</v>
      </c>
      <c r="T4" s="12"/>
    </row>
    <row r="5" customFormat="false" ht="95.5" hidden="false" customHeight="false" outlineLevel="0" collapsed="false">
      <c r="A5" s="12" t="s">
        <v>107</v>
      </c>
      <c r="B5" s="12" t="s">
        <v>60</v>
      </c>
      <c r="C5" s="12" t="s">
        <v>108</v>
      </c>
      <c r="D5" s="12" t="s">
        <v>109</v>
      </c>
      <c r="E5" s="12" t="s">
        <v>110</v>
      </c>
      <c r="F5" s="12" t="s">
        <v>111</v>
      </c>
      <c r="G5" s="12" t="s">
        <v>112</v>
      </c>
      <c r="H5" s="12" t="s">
        <v>113</v>
      </c>
      <c r="I5" s="12" t="s">
        <v>114</v>
      </c>
      <c r="J5" s="12" t="s">
        <v>115</v>
      </c>
      <c r="K5" s="12" t="s">
        <v>116</v>
      </c>
      <c r="L5" s="15" t="s">
        <v>20</v>
      </c>
      <c r="M5" s="12" t="s">
        <v>117</v>
      </c>
      <c r="N5" s="12" t="s">
        <v>118</v>
      </c>
      <c r="O5" s="12" t="s">
        <v>119</v>
      </c>
      <c r="P5" s="12" t="s">
        <v>120</v>
      </c>
      <c r="Q5" s="12" t="s">
        <v>90</v>
      </c>
      <c r="R5" s="12" t="s">
        <v>121</v>
      </c>
      <c r="S5" s="12" t="s">
        <v>75</v>
      </c>
      <c r="T5" s="12"/>
    </row>
    <row r="6" customFormat="false" ht="64.15" hidden="false" customHeight="false" outlineLevel="0" collapsed="false">
      <c r="A6" s="12" t="s">
        <v>122</v>
      </c>
      <c r="B6" s="12" t="s">
        <v>60</v>
      </c>
      <c r="C6" s="12" t="s">
        <v>123</v>
      </c>
      <c r="D6" s="12" t="s">
        <v>124</v>
      </c>
      <c r="E6" s="12" t="s">
        <v>125</v>
      </c>
      <c r="F6" s="12" t="s">
        <v>126</v>
      </c>
      <c r="G6" s="12" t="s">
        <v>127</v>
      </c>
      <c r="H6" s="12" t="s">
        <v>128</v>
      </c>
      <c r="I6" s="12" t="s">
        <v>129</v>
      </c>
      <c r="J6" s="12" t="s">
        <v>130</v>
      </c>
      <c r="K6" s="12" t="s">
        <v>131</v>
      </c>
      <c r="L6" s="16" t="s">
        <v>21</v>
      </c>
      <c r="M6" s="12" t="s">
        <v>132</v>
      </c>
      <c r="N6" s="12" t="s">
        <v>133</v>
      </c>
      <c r="O6" s="12" t="s">
        <v>134</v>
      </c>
      <c r="P6" s="12" t="s">
        <v>120</v>
      </c>
      <c r="Q6" s="12" t="s">
        <v>106</v>
      </c>
      <c r="R6" s="12" t="s">
        <v>135</v>
      </c>
      <c r="S6" s="12" t="s">
        <v>75</v>
      </c>
      <c r="T6" s="12"/>
    </row>
    <row r="7" customFormat="false" ht="43.25" hidden="false" customHeight="false" outlineLevel="0" collapsed="false">
      <c r="A7" s="12" t="s">
        <v>136</v>
      </c>
      <c r="B7" s="12" t="s">
        <v>60</v>
      </c>
      <c r="C7" s="12" t="s">
        <v>137</v>
      </c>
      <c r="D7" s="12" t="s">
        <v>138</v>
      </c>
      <c r="E7" s="12" t="s">
        <v>61</v>
      </c>
      <c r="F7" s="12" t="s">
        <v>139</v>
      </c>
      <c r="G7" s="12" t="s">
        <v>140</v>
      </c>
      <c r="H7" s="12" t="s">
        <v>141</v>
      </c>
      <c r="I7" s="12" t="s">
        <v>142</v>
      </c>
      <c r="J7" s="12" t="s">
        <v>142</v>
      </c>
      <c r="K7" s="12" t="s">
        <v>143</v>
      </c>
      <c r="L7" s="13" t="s">
        <v>22</v>
      </c>
      <c r="M7" s="12" t="s">
        <v>22</v>
      </c>
      <c r="N7" s="12" t="s">
        <v>144</v>
      </c>
      <c r="O7" s="12" t="s">
        <v>145</v>
      </c>
      <c r="P7" s="12" t="s">
        <v>72</v>
      </c>
      <c r="Q7" s="14" t="s">
        <v>73</v>
      </c>
      <c r="R7" s="12" t="s">
        <v>121</v>
      </c>
      <c r="S7" s="12" t="s">
        <v>75</v>
      </c>
      <c r="T7" s="12"/>
    </row>
    <row r="8" customFormat="false" ht="64.15" hidden="false" customHeight="false" outlineLevel="0" collapsed="false">
      <c r="A8" s="12" t="s">
        <v>146</v>
      </c>
      <c r="B8" s="12" t="s">
        <v>60</v>
      </c>
      <c r="C8" s="12" t="s">
        <v>147</v>
      </c>
      <c r="D8" s="12" t="s">
        <v>148</v>
      </c>
      <c r="E8" s="12" t="s">
        <v>149</v>
      </c>
      <c r="F8" s="12" t="s">
        <v>150</v>
      </c>
      <c r="G8" s="12" t="s">
        <v>151</v>
      </c>
      <c r="H8" s="12" t="s">
        <v>152</v>
      </c>
      <c r="I8" s="12" t="s">
        <v>153</v>
      </c>
      <c r="J8" s="12" t="s">
        <v>154</v>
      </c>
      <c r="K8" s="12" t="s">
        <v>155</v>
      </c>
      <c r="L8" s="16" t="s">
        <v>21</v>
      </c>
      <c r="M8" s="12" t="s">
        <v>156</v>
      </c>
      <c r="N8" s="12" t="s">
        <v>157</v>
      </c>
      <c r="O8" s="12" t="s">
        <v>158</v>
      </c>
      <c r="P8" s="12" t="s">
        <v>159</v>
      </c>
      <c r="Q8" s="14" t="s">
        <v>160</v>
      </c>
      <c r="R8" s="12" t="s">
        <v>161</v>
      </c>
      <c r="S8" s="12" t="s">
        <v>75</v>
      </c>
      <c r="T8" s="12"/>
    </row>
    <row r="9" customFormat="false" ht="64.15" hidden="false" customHeight="false" outlineLevel="0" collapsed="false">
      <c r="A9" s="12" t="s">
        <v>162</v>
      </c>
      <c r="B9" s="12" t="s">
        <v>60</v>
      </c>
      <c r="C9" s="12" t="s">
        <v>163</v>
      </c>
      <c r="D9" s="12" t="s">
        <v>164</v>
      </c>
      <c r="E9" s="12" t="s">
        <v>165</v>
      </c>
      <c r="F9" s="12" t="s">
        <v>166</v>
      </c>
      <c r="G9" s="12" t="s">
        <v>167</v>
      </c>
      <c r="H9" s="12" t="s">
        <v>168</v>
      </c>
      <c r="I9" s="12" t="s">
        <v>169</v>
      </c>
      <c r="J9" s="12" t="s">
        <v>170</v>
      </c>
      <c r="K9" s="12" t="s">
        <v>171</v>
      </c>
      <c r="L9" s="16" t="s">
        <v>21</v>
      </c>
      <c r="M9" s="12" t="s">
        <v>172</v>
      </c>
      <c r="N9" s="12" t="s">
        <v>173</v>
      </c>
      <c r="O9" s="12" t="s">
        <v>174</v>
      </c>
      <c r="P9" s="12" t="s">
        <v>120</v>
      </c>
      <c r="Q9" s="12" t="s">
        <v>175</v>
      </c>
      <c r="R9" s="12" t="s">
        <v>176</v>
      </c>
      <c r="S9" s="12" t="s">
        <v>75</v>
      </c>
      <c r="T9" s="12"/>
    </row>
    <row r="10" customFormat="false" ht="22.35" hidden="false" customHeight="false" outlineLevel="0" collapsed="false">
      <c r="A10" s="12" t="s">
        <v>177</v>
      </c>
      <c r="B10" s="12" t="s">
        <v>60</v>
      </c>
      <c r="C10" s="12" t="s">
        <v>178</v>
      </c>
      <c r="D10" s="12" t="s">
        <v>179</v>
      </c>
      <c r="E10" s="12" t="s">
        <v>93</v>
      </c>
      <c r="F10" s="12" t="s">
        <v>180</v>
      </c>
      <c r="G10" s="12" t="s">
        <v>181</v>
      </c>
      <c r="H10" s="12" t="s">
        <v>182</v>
      </c>
      <c r="I10" s="12" t="s">
        <v>183</v>
      </c>
      <c r="J10" s="12" t="s">
        <v>183</v>
      </c>
      <c r="K10" s="12" t="s">
        <v>183</v>
      </c>
      <c r="L10" s="13" t="s">
        <v>22</v>
      </c>
      <c r="M10" s="12" t="s">
        <v>22</v>
      </c>
      <c r="N10" s="12" t="s">
        <v>184</v>
      </c>
      <c r="O10" s="12" t="s">
        <v>183</v>
      </c>
      <c r="P10" s="12" t="s">
        <v>72</v>
      </c>
      <c r="Q10" s="12" t="s">
        <v>106</v>
      </c>
      <c r="R10" s="12" t="s">
        <v>121</v>
      </c>
      <c r="S10" s="12" t="s">
        <v>75</v>
      </c>
      <c r="T10" s="12"/>
    </row>
    <row r="11" customFormat="false" ht="43.25" hidden="false" customHeight="false" outlineLevel="0" collapsed="false">
      <c r="A11" s="12" t="s">
        <v>185</v>
      </c>
      <c r="B11" s="12" t="s">
        <v>60</v>
      </c>
      <c r="C11" s="12" t="s">
        <v>186</v>
      </c>
      <c r="D11" s="12" t="s">
        <v>187</v>
      </c>
      <c r="E11" s="12" t="s">
        <v>188</v>
      </c>
      <c r="F11" s="12" t="s">
        <v>189</v>
      </c>
      <c r="G11" s="12" t="s">
        <v>190</v>
      </c>
      <c r="H11" s="12" t="s">
        <v>191</v>
      </c>
      <c r="I11" s="12" t="s">
        <v>192</v>
      </c>
      <c r="J11" s="12" t="s">
        <v>193</v>
      </c>
      <c r="K11" s="12" t="s">
        <v>194</v>
      </c>
      <c r="L11" s="13" t="s">
        <v>22</v>
      </c>
      <c r="M11" s="12" t="s">
        <v>195</v>
      </c>
      <c r="N11" s="12" t="s">
        <v>196</v>
      </c>
      <c r="O11" s="12" t="s">
        <v>197</v>
      </c>
      <c r="P11" s="12" t="s">
        <v>198</v>
      </c>
      <c r="Q11" s="12" t="s">
        <v>106</v>
      </c>
      <c r="R11" s="12" t="s">
        <v>199</v>
      </c>
      <c r="S11" s="12" t="s">
        <v>75</v>
      </c>
      <c r="T11" s="12"/>
    </row>
    <row r="12" customFormat="false" ht="43.25" hidden="false" customHeight="false" outlineLevel="0" collapsed="false">
      <c r="A12" s="12" t="s">
        <v>200</v>
      </c>
      <c r="B12" s="12" t="s">
        <v>60</v>
      </c>
      <c r="C12" s="12" t="s">
        <v>201</v>
      </c>
      <c r="D12" s="12" t="s">
        <v>202</v>
      </c>
      <c r="E12" s="12" t="s">
        <v>203</v>
      </c>
      <c r="F12" s="12" t="s">
        <v>204</v>
      </c>
      <c r="G12" s="12" t="s">
        <v>205</v>
      </c>
      <c r="H12" s="12" t="s">
        <v>206</v>
      </c>
      <c r="I12" s="12" t="s">
        <v>207</v>
      </c>
      <c r="J12" s="12" t="s">
        <v>170</v>
      </c>
      <c r="K12" s="12" t="s">
        <v>208</v>
      </c>
      <c r="L12" s="15" t="s">
        <v>20</v>
      </c>
      <c r="M12" s="12" t="s">
        <v>209</v>
      </c>
      <c r="N12" s="12" t="s">
        <v>210</v>
      </c>
      <c r="O12" s="12" t="s">
        <v>211</v>
      </c>
      <c r="P12" s="12" t="s">
        <v>120</v>
      </c>
      <c r="Q12" s="12" t="s">
        <v>90</v>
      </c>
      <c r="R12" s="12" t="s">
        <v>212</v>
      </c>
      <c r="S12" s="12" t="s">
        <v>75</v>
      </c>
      <c r="T12" s="12"/>
    </row>
    <row r="13" customFormat="false" ht="116.4" hidden="false" customHeight="false" outlineLevel="0" collapsed="false">
      <c r="A13" s="12" t="s">
        <v>213</v>
      </c>
      <c r="B13" s="12" t="s">
        <v>60</v>
      </c>
      <c r="C13" s="12" t="s">
        <v>214</v>
      </c>
      <c r="D13" s="12" t="s">
        <v>215</v>
      </c>
      <c r="E13" s="12" t="s">
        <v>216</v>
      </c>
      <c r="F13" s="12" t="s">
        <v>217</v>
      </c>
      <c r="G13" s="12" t="s">
        <v>218</v>
      </c>
      <c r="H13" s="12" t="s">
        <v>219</v>
      </c>
      <c r="I13" s="12" t="s">
        <v>220</v>
      </c>
      <c r="J13" s="12" t="s">
        <v>221</v>
      </c>
      <c r="K13" s="12" t="s">
        <v>222</v>
      </c>
      <c r="L13" s="16" t="s">
        <v>21</v>
      </c>
      <c r="M13" s="12" t="s">
        <v>223</v>
      </c>
      <c r="N13" s="12" t="s">
        <v>224</v>
      </c>
      <c r="O13" s="12" t="s">
        <v>225</v>
      </c>
      <c r="P13" s="12" t="s">
        <v>120</v>
      </c>
      <c r="Q13" s="12" t="s">
        <v>106</v>
      </c>
      <c r="R13" s="12" t="s">
        <v>226</v>
      </c>
      <c r="S13" s="12" t="s">
        <v>75</v>
      </c>
      <c r="T13" s="12"/>
    </row>
    <row r="14" customFormat="false" ht="64.15" hidden="false" customHeight="false" outlineLevel="0" collapsed="false">
      <c r="A14" s="12" t="s">
        <v>227</v>
      </c>
      <c r="B14" s="12" t="s">
        <v>60</v>
      </c>
      <c r="C14" s="12" t="s">
        <v>228</v>
      </c>
      <c r="D14" s="12" t="s">
        <v>229</v>
      </c>
      <c r="E14" s="12" t="s">
        <v>230</v>
      </c>
      <c r="F14" s="12" t="s">
        <v>231</v>
      </c>
      <c r="G14" s="12" t="s">
        <v>232</v>
      </c>
      <c r="H14" s="12" t="s">
        <v>233</v>
      </c>
      <c r="I14" s="12" t="s">
        <v>234</v>
      </c>
      <c r="J14" s="12" t="s">
        <v>235</v>
      </c>
      <c r="K14" s="12" t="s">
        <v>236</v>
      </c>
      <c r="L14" s="13" t="s">
        <v>22</v>
      </c>
      <c r="M14" s="12" t="s">
        <v>22</v>
      </c>
      <c r="N14" s="12" t="s">
        <v>237</v>
      </c>
      <c r="O14" s="12" t="s">
        <v>238</v>
      </c>
      <c r="P14" s="12" t="s">
        <v>239</v>
      </c>
      <c r="Q14" s="14" t="s">
        <v>73</v>
      </c>
      <c r="R14" s="12" t="s">
        <v>121</v>
      </c>
      <c r="S14" s="12" t="s">
        <v>75</v>
      </c>
      <c r="T14" s="12"/>
    </row>
    <row r="15" customFormat="false" ht="43.25" hidden="false" customHeight="false" outlineLevel="0" collapsed="false">
      <c r="A15" s="12" t="s">
        <v>240</v>
      </c>
      <c r="B15" s="12" t="s">
        <v>60</v>
      </c>
      <c r="C15" s="12" t="s">
        <v>241</v>
      </c>
      <c r="D15" s="12" t="s">
        <v>242</v>
      </c>
      <c r="E15" s="12" t="s">
        <v>243</v>
      </c>
      <c r="F15" s="12" t="s">
        <v>244</v>
      </c>
      <c r="G15" s="12" t="s">
        <v>245</v>
      </c>
      <c r="H15" s="12" t="s">
        <v>246</v>
      </c>
      <c r="I15" s="12" t="s">
        <v>247</v>
      </c>
      <c r="J15" s="12" t="s">
        <v>248</v>
      </c>
      <c r="K15" s="12" t="s">
        <v>249</v>
      </c>
      <c r="L15" s="16" t="s">
        <v>21</v>
      </c>
      <c r="M15" s="12" t="s">
        <v>250</v>
      </c>
      <c r="N15" s="12" t="s">
        <v>251</v>
      </c>
      <c r="O15" s="12" t="s">
        <v>252</v>
      </c>
      <c r="P15" s="12" t="s">
        <v>120</v>
      </c>
      <c r="Q15" s="12" t="s">
        <v>90</v>
      </c>
      <c r="R15" s="12" t="s">
        <v>121</v>
      </c>
      <c r="S15" s="12" t="s">
        <v>75</v>
      </c>
      <c r="T15" s="12"/>
    </row>
    <row r="16" customFormat="false" ht="43.25" hidden="false" customHeight="false" outlineLevel="0" collapsed="false">
      <c r="A16" s="12" t="s">
        <v>253</v>
      </c>
      <c r="B16" s="12" t="s">
        <v>60</v>
      </c>
      <c r="C16" s="12" t="s">
        <v>254</v>
      </c>
      <c r="D16" s="12" t="s">
        <v>255</v>
      </c>
      <c r="E16" s="12" t="s">
        <v>256</v>
      </c>
      <c r="F16" s="12" t="s">
        <v>257</v>
      </c>
      <c r="G16" s="12" t="s">
        <v>258</v>
      </c>
      <c r="H16" s="12" t="s">
        <v>259</v>
      </c>
      <c r="I16" s="12" t="s">
        <v>260</v>
      </c>
      <c r="J16" s="12" t="s">
        <v>261</v>
      </c>
      <c r="K16" s="12" t="s">
        <v>262</v>
      </c>
      <c r="L16" s="17" t="s">
        <v>19</v>
      </c>
      <c r="M16" s="12" t="s">
        <v>263</v>
      </c>
      <c r="N16" s="12" t="s">
        <v>264</v>
      </c>
      <c r="O16" s="12" t="s">
        <v>265</v>
      </c>
      <c r="P16" s="12" t="s">
        <v>120</v>
      </c>
      <c r="Q16" s="12" t="s">
        <v>175</v>
      </c>
      <c r="R16" s="12" t="s">
        <v>121</v>
      </c>
      <c r="S16" s="12" t="s">
        <v>75</v>
      </c>
      <c r="T16" s="12"/>
    </row>
    <row r="17" customFormat="false" ht="43.25" hidden="false" customHeight="false" outlineLevel="0" collapsed="false">
      <c r="A17" s="12" t="s">
        <v>266</v>
      </c>
      <c r="B17" s="12" t="s">
        <v>60</v>
      </c>
      <c r="C17" s="12" t="s">
        <v>267</v>
      </c>
      <c r="D17" s="12" t="s">
        <v>268</v>
      </c>
      <c r="E17" s="12" t="s">
        <v>269</v>
      </c>
      <c r="F17" s="12" t="s">
        <v>270</v>
      </c>
      <c r="G17" s="12" t="s">
        <v>271</v>
      </c>
      <c r="H17" s="12" t="s">
        <v>272</v>
      </c>
      <c r="I17" s="12" t="s">
        <v>273</v>
      </c>
      <c r="J17" s="12" t="s">
        <v>274</v>
      </c>
      <c r="K17" s="12" t="s">
        <v>275</v>
      </c>
      <c r="L17" s="16" t="s">
        <v>21</v>
      </c>
      <c r="M17" s="12" t="s">
        <v>21</v>
      </c>
      <c r="N17" s="12" t="s">
        <v>276</v>
      </c>
      <c r="O17" s="12" t="s">
        <v>277</v>
      </c>
      <c r="P17" s="12" t="s">
        <v>120</v>
      </c>
      <c r="Q17" s="12" t="s">
        <v>175</v>
      </c>
      <c r="R17" s="12" t="s">
        <v>278</v>
      </c>
      <c r="S17" s="12" t="s">
        <v>75</v>
      </c>
      <c r="T17" s="12"/>
    </row>
    <row r="18" customFormat="false" ht="74.6" hidden="false" customHeight="false" outlineLevel="0" collapsed="false">
      <c r="A18" s="12" t="s">
        <v>279</v>
      </c>
      <c r="B18" s="12" t="s">
        <v>60</v>
      </c>
      <c r="C18" s="12" t="s">
        <v>280</v>
      </c>
      <c r="D18" s="12" t="s">
        <v>281</v>
      </c>
      <c r="E18" s="12" t="s">
        <v>282</v>
      </c>
      <c r="F18" s="12" t="s">
        <v>283</v>
      </c>
      <c r="G18" s="12" t="s">
        <v>284</v>
      </c>
      <c r="H18" s="12" t="s">
        <v>285</v>
      </c>
      <c r="I18" s="12" t="s">
        <v>286</v>
      </c>
      <c r="J18" s="12" t="s">
        <v>287</v>
      </c>
      <c r="K18" s="12" t="s">
        <v>288</v>
      </c>
      <c r="L18" s="16" t="s">
        <v>21</v>
      </c>
      <c r="M18" s="12" t="s">
        <v>289</v>
      </c>
      <c r="N18" s="12" t="s">
        <v>290</v>
      </c>
      <c r="O18" s="12" t="s">
        <v>291</v>
      </c>
      <c r="P18" s="12" t="s">
        <v>120</v>
      </c>
      <c r="Q18" s="12" t="s">
        <v>90</v>
      </c>
      <c r="R18" s="12" t="s">
        <v>91</v>
      </c>
      <c r="S18" s="12" t="s">
        <v>75</v>
      </c>
      <c r="T18" s="12"/>
    </row>
    <row r="19" customFormat="false" ht="74.6" hidden="false" customHeight="false" outlineLevel="0" collapsed="false">
      <c r="A19" s="12" t="s">
        <v>292</v>
      </c>
      <c r="B19" s="12" t="s">
        <v>60</v>
      </c>
      <c r="C19" s="12" t="s">
        <v>293</v>
      </c>
      <c r="D19" s="12" t="s">
        <v>294</v>
      </c>
      <c r="E19" s="12" t="s">
        <v>295</v>
      </c>
      <c r="F19" s="12" t="s">
        <v>296</v>
      </c>
      <c r="G19" s="12" t="s">
        <v>297</v>
      </c>
      <c r="H19" s="12" t="s">
        <v>298</v>
      </c>
      <c r="I19" s="12" t="s">
        <v>299</v>
      </c>
      <c r="J19" s="12" t="s">
        <v>300</v>
      </c>
      <c r="K19" s="12" t="s">
        <v>301</v>
      </c>
      <c r="L19" s="13" t="s">
        <v>22</v>
      </c>
      <c r="M19" s="12" t="s">
        <v>22</v>
      </c>
      <c r="N19" s="12" t="s">
        <v>302</v>
      </c>
      <c r="O19" s="12" t="s">
        <v>303</v>
      </c>
      <c r="P19" s="12" t="s">
        <v>72</v>
      </c>
      <c r="Q19" s="14" t="s">
        <v>73</v>
      </c>
      <c r="R19" s="12" t="s">
        <v>304</v>
      </c>
      <c r="S19" s="12" t="s">
        <v>75</v>
      </c>
      <c r="T19" s="12"/>
    </row>
    <row r="20" customFormat="false" ht="64.15" hidden="false" customHeight="false" outlineLevel="0" collapsed="false">
      <c r="A20" s="12" t="s">
        <v>305</v>
      </c>
      <c r="B20" s="12" t="s">
        <v>60</v>
      </c>
      <c r="C20" s="12" t="s">
        <v>306</v>
      </c>
      <c r="D20" s="12" t="s">
        <v>307</v>
      </c>
      <c r="E20" s="12" t="s">
        <v>308</v>
      </c>
      <c r="F20" s="12" t="s">
        <v>309</v>
      </c>
      <c r="G20" s="12" t="s">
        <v>310</v>
      </c>
      <c r="H20" s="12" t="s">
        <v>311</v>
      </c>
      <c r="I20" s="12" t="s">
        <v>312</v>
      </c>
      <c r="J20" s="12" t="s">
        <v>261</v>
      </c>
      <c r="K20" s="12" t="s">
        <v>313</v>
      </c>
      <c r="L20" s="15" t="s">
        <v>20</v>
      </c>
      <c r="M20" s="12" t="s">
        <v>314</v>
      </c>
      <c r="N20" s="12" t="s">
        <v>315</v>
      </c>
      <c r="O20" s="12" t="s">
        <v>316</v>
      </c>
      <c r="P20" s="12" t="s">
        <v>120</v>
      </c>
      <c r="Q20" s="12" t="s">
        <v>175</v>
      </c>
      <c r="R20" s="12" t="s">
        <v>121</v>
      </c>
      <c r="S20" s="12" t="s">
        <v>75</v>
      </c>
      <c r="T20" s="12"/>
    </row>
    <row r="21" customFormat="false" ht="116.4" hidden="false" customHeight="false" outlineLevel="0" collapsed="false">
      <c r="A21" s="12" t="s">
        <v>317</v>
      </c>
      <c r="B21" s="12" t="s">
        <v>60</v>
      </c>
      <c r="C21" s="12" t="s">
        <v>318</v>
      </c>
      <c r="D21" s="12" t="s">
        <v>319</v>
      </c>
      <c r="E21" s="12" t="s">
        <v>320</v>
      </c>
      <c r="F21" s="12" t="s">
        <v>321</v>
      </c>
      <c r="G21" s="12" t="s">
        <v>322</v>
      </c>
      <c r="H21" s="12" t="s">
        <v>323</v>
      </c>
      <c r="I21" s="12" t="s">
        <v>324</v>
      </c>
      <c r="J21" s="12" t="s">
        <v>325</v>
      </c>
      <c r="K21" s="12" t="s">
        <v>326</v>
      </c>
      <c r="L21" s="16" t="s">
        <v>21</v>
      </c>
      <c r="M21" s="12" t="s">
        <v>327</v>
      </c>
      <c r="N21" s="12" t="s">
        <v>328</v>
      </c>
      <c r="O21" s="12" t="s">
        <v>329</v>
      </c>
      <c r="P21" s="12" t="s">
        <v>120</v>
      </c>
      <c r="Q21" s="12" t="s">
        <v>106</v>
      </c>
      <c r="R21" s="12" t="s">
        <v>121</v>
      </c>
      <c r="S21" s="12" t="s">
        <v>75</v>
      </c>
      <c r="T21" s="12"/>
    </row>
    <row r="22" customFormat="false" ht="64.15" hidden="false" customHeight="false" outlineLevel="0" collapsed="false">
      <c r="A22" s="12" t="s">
        <v>330</v>
      </c>
      <c r="B22" s="12" t="s">
        <v>60</v>
      </c>
      <c r="C22" s="12" t="s">
        <v>331</v>
      </c>
      <c r="D22" s="12" t="s">
        <v>332</v>
      </c>
      <c r="E22" s="12" t="s">
        <v>333</v>
      </c>
      <c r="F22" s="12" t="s">
        <v>334</v>
      </c>
      <c r="G22" s="12" t="s">
        <v>335</v>
      </c>
      <c r="H22" s="12" t="s">
        <v>336</v>
      </c>
      <c r="I22" s="12" t="s">
        <v>337</v>
      </c>
      <c r="J22" s="12" t="s">
        <v>338</v>
      </c>
      <c r="K22" s="12" t="s">
        <v>339</v>
      </c>
      <c r="L22" s="16" t="s">
        <v>21</v>
      </c>
      <c r="M22" s="12" t="s">
        <v>340</v>
      </c>
      <c r="N22" s="12" t="s">
        <v>341</v>
      </c>
      <c r="O22" s="12" t="s">
        <v>342</v>
      </c>
      <c r="P22" s="12" t="s">
        <v>120</v>
      </c>
      <c r="Q22" s="12" t="s">
        <v>90</v>
      </c>
      <c r="R22" s="12" t="s">
        <v>212</v>
      </c>
      <c r="S22" s="12" t="s">
        <v>75</v>
      </c>
      <c r="T22" s="12"/>
    </row>
    <row r="23" customFormat="false" ht="43.25" hidden="false" customHeight="false" outlineLevel="0" collapsed="false">
      <c r="A23" s="12" t="s">
        <v>343</v>
      </c>
      <c r="B23" s="12" t="s">
        <v>60</v>
      </c>
      <c r="C23" s="12" t="s">
        <v>344</v>
      </c>
      <c r="D23" s="12" t="s">
        <v>345</v>
      </c>
      <c r="E23" s="12" t="s">
        <v>346</v>
      </c>
      <c r="F23" s="12" t="s">
        <v>347</v>
      </c>
      <c r="G23" s="12" t="s">
        <v>348</v>
      </c>
      <c r="H23" s="12" t="s">
        <v>349</v>
      </c>
      <c r="I23" s="12" t="s">
        <v>350</v>
      </c>
      <c r="J23" s="12" t="s">
        <v>351</v>
      </c>
      <c r="K23" s="12" t="s">
        <v>352</v>
      </c>
      <c r="L23" s="15" t="s">
        <v>20</v>
      </c>
      <c r="M23" s="12" t="s">
        <v>353</v>
      </c>
      <c r="N23" s="12" t="s">
        <v>354</v>
      </c>
      <c r="O23" s="12" t="s">
        <v>355</v>
      </c>
      <c r="P23" s="12" t="s">
        <v>120</v>
      </c>
      <c r="Q23" s="12" t="s">
        <v>175</v>
      </c>
      <c r="R23" s="12" t="s">
        <v>212</v>
      </c>
      <c r="S23" s="12" t="s">
        <v>75</v>
      </c>
      <c r="T23" s="12"/>
    </row>
    <row r="24" customFormat="false" ht="53.7" hidden="false" customHeight="false" outlineLevel="0" collapsed="false">
      <c r="A24" s="12" t="s">
        <v>356</v>
      </c>
      <c r="B24" s="12" t="s">
        <v>60</v>
      </c>
      <c r="C24" s="12" t="s">
        <v>357</v>
      </c>
      <c r="D24" s="12" t="s">
        <v>358</v>
      </c>
      <c r="E24" s="12" t="s">
        <v>359</v>
      </c>
      <c r="F24" s="12" t="s">
        <v>360</v>
      </c>
      <c r="G24" s="12" t="s">
        <v>361</v>
      </c>
      <c r="H24" s="12" t="s">
        <v>362</v>
      </c>
      <c r="I24" s="12" t="s">
        <v>363</v>
      </c>
      <c r="J24" s="12" t="s">
        <v>364</v>
      </c>
      <c r="K24" s="12" t="s">
        <v>365</v>
      </c>
      <c r="L24" s="17" t="s">
        <v>19</v>
      </c>
      <c r="M24" s="12" t="s">
        <v>263</v>
      </c>
      <c r="N24" s="12" t="s">
        <v>366</v>
      </c>
      <c r="O24" s="12" t="s">
        <v>367</v>
      </c>
      <c r="P24" s="12" t="s">
        <v>120</v>
      </c>
      <c r="Q24" s="12" t="s">
        <v>175</v>
      </c>
      <c r="R24" s="12" t="s">
        <v>121</v>
      </c>
      <c r="S24" s="12" t="s">
        <v>75</v>
      </c>
      <c r="T24" s="12"/>
    </row>
    <row r="25" customFormat="false" ht="22.35" hidden="false" customHeight="false" outlineLevel="0" collapsed="false">
      <c r="A25" s="12" t="s">
        <v>368</v>
      </c>
      <c r="B25" s="12" t="s">
        <v>369</v>
      </c>
      <c r="C25" s="12" t="s">
        <v>370</v>
      </c>
      <c r="D25" s="12" t="s">
        <v>371</v>
      </c>
      <c r="E25" s="12" t="s">
        <v>372</v>
      </c>
      <c r="F25" s="12" t="s">
        <v>373</v>
      </c>
      <c r="G25" s="12" t="s">
        <v>374</v>
      </c>
      <c r="H25" s="12" t="s">
        <v>375</v>
      </c>
      <c r="I25" s="12" t="s">
        <v>376</v>
      </c>
      <c r="J25" s="12" t="s">
        <v>372</v>
      </c>
      <c r="K25" s="12" t="s">
        <v>377</v>
      </c>
      <c r="L25" s="15" t="s">
        <v>20</v>
      </c>
      <c r="M25" s="12" t="s">
        <v>378</v>
      </c>
      <c r="N25" s="12" t="s">
        <v>379</v>
      </c>
      <c r="O25" s="12" t="s">
        <v>372</v>
      </c>
      <c r="P25" s="12" t="s">
        <v>120</v>
      </c>
      <c r="Q25" s="12" t="s">
        <v>175</v>
      </c>
      <c r="R25" s="12" t="s">
        <v>121</v>
      </c>
      <c r="S25" s="12" t="s">
        <v>75</v>
      </c>
      <c r="T25" s="12"/>
    </row>
    <row r="26" customFormat="false" ht="43.25" hidden="false" customHeight="false" outlineLevel="0" collapsed="false">
      <c r="A26" s="12" t="s">
        <v>380</v>
      </c>
      <c r="B26" s="12" t="s">
        <v>369</v>
      </c>
      <c r="C26" s="12" t="s">
        <v>381</v>
      </c>
      <c r="D26" s="12" t="s">
        <v>382</v>
      </c>
      <c r="E26" s="12" t="s">
        <v>383</v>
      </c>
      <c r="F26" s="12" t="s">
        <v>384</v>
      </c>
      <c r="G26" s="12" t="s">
        <v>385</v>
      </c>
      <c r="H26" s="12" t="s">
        <v>386</v>
      </c>
      <c r="I26" s="12" t="s">
        <v>387</v>
      </c>
      <c r="J26" s="12" t="s">
        <v>388</v>
      </c>
      <c r="K26" s="12" t="s">
        <v>389</v>
      </c>
      <c r="L26" s="15" t="s">
        <v>20</v>
      </c>
      <c r="M26" s="12" t="s">
        <v>378</v>
      </c>
      <c r="N26" s="12" t="s">
        <v>390</v>
      </c>
      <c r="O26" s="12" t="s">
        <v>372</v>
      </c>
      <c r="P26" s="12" t="s">
        <v>120</v>
      </c>
      <c r="Q26" s="12" t="s">
        <v>90</v>
      </c>
      <c r="R26" s="12" t="s">
        <v>212</v>
      </c>
      <c r="S26" s="12" t="s">
        <v>75</v>
      </c>
      <c r="T26" s="12"/>
    </row>
    <row r="27" customFormat="false" ht="53.7" hidden="false" customHeight="false" outlineLevel="0" collapsed="false">
      <c r="A27" s="12" t="s">
        <v>391</v>
      </c>
      <c r="B27" s="12" t="s">
        <v>369</v>
      </c>
      <c r="C27" s="12" t="s">
        <v>392</v>
      </c>
      <c r="D27" s="12" t="s">
        <v>372</v>
      </c>
      <c r="E27" s="12" t="s">
        <v>393</v>
      </c>
      <c r="F27" s="12" t="s">
        <v>394</v>
      </c>
      <c r="G27" s="12" t="s">
        <v>395</v>
      </c>
      <c r="H27" s="12" t="s">
        <v>396</v>
      </c>
      <c r="I27" s="12" t="s">
        <v>397</v>
      </c>
      <c r="J27" s="12" t="s">
        <v>372</v>
      </c>
      <c r="K27" s="12" t="s">
        <v>398</v>
      </c>
      <c r="L27" s="16" t="s">
        <v>21</v>
      </c>
      <c r="M27" s="12" t="s">
        <v>21</v>
      </c>
      <c r="N27" s="12" t="s">
        <v>399</v>
      </c>
      <c r="O27" s="12" t="s">
        <v>400</v>
      </c>
      <c r="P27" s="12" t="s">
        <v>120</v>
      </c>
      <c r="Q27" s="12" t="s">
        <v>90</v>
      </c>
      <c r="R27" s="12" t="s">
        <v>121</v>
      </c>
      <c r="S27" s="12" t="s">
        <v>75</v>
      </c>
      <c r="T27" s="12"/>
    </row>
    <row r="28" customFormat="false" ht="53.7" hidden="false" customHeight="false" outlineLevel="0" collapsed="false">
      <c r="A28" s="12" t="s">
        <v>401</v>
      </c>
      <c r="B28" s="12" t="s">
        <v>369</v>
      </c>
      <c r="C28" s="12" t="s">
        <v>402</v>
      </c>
      <c r="D28" s="12" t="s">
        <v>403</v>
      </c>
      <c r="E28" s="12" t="s">
        <v>404</v>
      </c>
      <c r="F28" s="12" t="s">
        <v>405</v>
      </c>
      <c r="G28" s="12" t="s">
        <v>406</v>
      </c>
      <c r="H28" s="12" t="s">
        <v>407</v>
      </c>
      <c r="I28" s="12" t="s">
        <v>408</v>
      </c>
      <c r="J28" s="12" t="s">
        <v>372</v>
      </c>
      <c r="K28" s="12" t="s">
        <v>409</v>
      </c>
      <c r="L28" s="18" t="s">
        <v>23</v>
      </c>
      <c r="M28" s="12" t="s">
        <v>410</v>
      </c>
      <c r="N28" s="12" t="s">
        <v>411</v>
      </c>
      <c r="O28" s="12" t="s">
        <v>372</v>
      </c>
      <c r="P28" s="12" t="s">
        <v>120</v>
      </c>
      <c r="Q28" s="12" t="s">
        <v>90</v>
      </c>
      <c r="R28" s="12" t="s">
        <v>412</v>
      </c>
      <c r="S28" s="12" t="s">
        <v>75</v>
      </c>
      <c r="T28" s="12"/>
    </row>
    <row r="29" customFormat="false" ht="32.8" hidden="false" customHeight="false" outlineLevel="0" collapsed="false">
      <c r="A29" s="12" t="s">
        <v>413</v>
      </c>
      <c r="B29" s="12" t="s">
        <v>369</v>
      </c>
      <c r="C29" s="12" t="s">
        <v>414</v>
      </c>
      <c r="D29" s="12" t="s">
        <v>415</v>
      </c>
      <c r="E29" s="12" t="s">
        <v>416</v>
      </c>
      <c r="F29" s="12" t="s">
        <v>417</v>
      </c>
      <c r="G29" s="12" t="s">
        <v>418</v>
      </c>
      <c r="H29" s="12" t="s">
        <v>419</v>
      </c>
      <c r="I29" s="12" t="s">
        <v>145</v>
      </c>
      <c r="J29" s="12" t="s">
        <v>420</v>
      </c>
      <c r="K29" s="12" t="s">
        <v>421</v>
      </c>
      <c r="L29" s="13" t="s">
        <v>22</v>
      </c>
      <c r="M29" s="12" t="s">
        <v>22</v>
      </c>
      <c r="N29" s="12" t="s">
        <v>422</v>
      </c>
      <c r="O29" s="12" t="s">
        <v>372</v>
      </c>
      <c r="P29" s="12" t="s">
        <v>72</v>
      </c>
      <c r="Q29" s="12" t="s">
        <v>106</v>
      </c>
      <c r="R29" s="12" t="s">
        <v>423</v>
      </c>
      <c r="S29" s="12" t="s">
        <v>75</v>
      </c>
      <c r="T29" s="12"/>
    </row>
    <row r="30" customFormat="false" ht="22.35" hidden="false" customHeight="false" outlineLevel="0" collapsed="false">
      <c r="A30" s="12" t="s">
        <v>424</v>
      </c>
      <c r="B30" s="12" t="s">
        <v>369</v>
      </c>
      <c r="C30" s="12" t="s">
        <v>425</v>
      </c>
      <c r="D30" s="12" t="s">
        <v>164</v>
      </c>
      <c r="E30" s="12" t="s">
        <v>426</v>
      </c>
      <c r="F30" s="12" t="s">
        <v>427</v>
      </c>
      <c r="G30" s="12" t="s">
        <v>428</v>
      </c>
      <c r="H30" s="12" t="s">
        <v>429</v>
      </c>
      <c r="I30" s="12" t="s">
        <v>430</v>
      </c>
      <c r="J30" s="12" t="s">
        <v>372</v>
      </c>
      <c r="K30" s="12" t="s">
        <v>431</v>
      </c>
      <c r="L30" s="13" t="s">
        <v>22</v>
      </c>
      <c r="M30" s="12" t="s">
        <v>22</v>
      </c>
      <c r="N30" s="12" t="s">
        <v>432</v>
      </c>
      <c r="O30" s="12" t="s">
        <v>372</v>
      </c>
      <c r="P30" s="12" t="s">
        <v>72</v>
      </c>
      <c r="Q30" s="12" t="s">
        <v>175</v>
      </c>
      <c r="R30" s="12" t="s">
        <v>121</v>
      </c>
      <c r="S30" s="12" t="s">
        <v>75</v>
      </c>
      <c r="T30" s="12"/>
    </row>
    <row r="31" customFormat="false" ht="22.35" hidden="false" customHeight="false" outlineLevel="0" collapsed="false">
      <c r="A31" s="12" t="s">
        <v>433</v>
      </c>
      <c r="B31" s="12" t="s">
        <v>369</v>
      </c>
      <c r="C31" s="12" t="s">
        <v>434</v>
      </c>
      <c r="D31" s="12" t="s">
        <v>435</v>
      </c>
      <c r="E31" s="12" t="s">
        <v>436</v>
      </c>
      <c r="F31" s="12" t="s">
        <v>437</v>
      </c>
      <c r="G31" s="12" t="s">
        <v>438</v>
      </c>
      <c r="H31" s="12" t="s">
        <v>439</v>
      </c>
      <c r="I31" s="12" t="s">
        <v>440</v>
      </c>
      <c r="J31" s="12" t="s">
        <v>441</v>
      </c>
      <c r="K31" s="12" t="s">
        <v>442</v>
      </c>
      <c r="L31" s="13" t="s">
        <v>22</v>
      </c>
      <c r="M31" s="12" t="s">
        <v>22</v>
      </c>
      <c r="N31" s="12" t="s">
        <v>443</v>
      </c>
      <c r="O31" s="12" t="s">
        <v>372</v>
      </c>
      <c r="P31" s="12" t="s">
        <v>72</v>
      </c>
      <c r="Q31" s="12" t="s">
        <v>106</v>
      </c>
      <c r="R31" s="12" t="s">
        <v>444</v>
      </c>
      <c r="S31" s="12" t="s">
        <v>75</v>
      </c>
      <c r="T31" s="12"/>
    </row>
    <row r="32" customFormat="false" ht="22.35" hidden="false" customHeight="false" outlineLevel="0" collapsed="false">
      <c r="A32" s="12" t="s">
        <v>445</v>
      </c>
      <c r="B32" s="12" t="s">
        <v>369</v>
      </c>
      <c r="C32" s="12" t="s">
        <v>446</v>
      </c>
      <c r="D32" s="12" t="s">
        <v>447</v>
      </c>
      <c r="E32" s="12" t="s">
        <v>448</v>
      </c>
      <c r="F32" s="12" t="s">
        <v>449</v>
      </c>
      <c r="G32" s="12" t="s">
        <v>450</v>
      </c>
      <c r="H32" s="12" t="s">
        <v>372</v>
      </c>
      <c r="I32" s="12" t="s">
        <v>145</v>
      </c>
      <c r="J32" s="12" t="s">
        <v>372</v>
      </c>
      <c r="K32" s="12" t="s">
        <v>451</v>
      </c>
      <c r="L32" s="13" t="s">
        <v>22</v>
      </c>
      <c r="M32" s="12" t="s">
        <v>452</v>
      </c>
      <c r="N32" s="12" t="s">
        <v>453</v>
      </c>
      <c r="O32" s="12" t="s">
        <v>454</v>
      </c>
      <c r="P32" s="12" t="s">
        <v>120</v>
      </c>
      <c r="Q32" s="12" t="s">
        <v>175</v>
      </c>
      <c r="R32" s="12" t="s">
        <v>121</v>
      </c>
      <c r="S32" s="12" t="s">
        <v>75</v>
      </c>
      <c r="T32" s="12"/>
    </row>
    <row r="33" customFormat="false" ht="32.8" hidden="false" customHeight="false" outlineLevel="0" collapsed="false">
      <c r="A33" s="12" t="s">
        <v>455</v>
      </c>
      <c r="B33" s="12" t="s">
        <v>369</v>
      </c>
      <c r="C33" s="12" t="s">
        <v>456</v>
      </c>
      <c r="D33" s="12" t="s">
        <v>457</v>
      </c>
      <c r="E33" s="12" t="s">
        <v>458</v>
      </c>
      <c r="F33" s="12" t="s">
        <v>459</v>
      </c>
      <c r="G33" s="12" t="s">
        <v>460</v>
      </c>
      <c r="H33" s="12" t="s">
        <v>461</v>
      </c>
      <c r="I33" s="12" t="s">
        <v>462</v>
      </c>
      <c r="J33" s="12" t="s">
        <v>372</v>
      </c>
      <c r="K33" s="12" t="s">
        <v>463</v>
      </c>
      <c r="L33" s="15" t="s">
        <v>20</v>
      </c>
      <c r="M33" s="12" t="s">
        <v>378</v>
      </c>
      <c r="N33" s="12" t="s">
        <v>464</v>
      </c>
      <c r="O33" s="12" t="s">
        <v>372</v>
      </c>
      <c r="P33" s="12" t="s">
        <v>120</v>
      </c>
      <c r="Q33" s="12" t="s">
        <v>175</v>
      </c>
      <c r="R33" s="12" t="s">
        <v>121</v>
      </c>
      <c r="S33" s="12" t="s">
        <v>75</v>
      </c>
      <c r="T33" s="12"/>
    </row>
  </sheetData>
  <autoFilter ref="A1:T33"/>
  <dataValidations count="2">
    <dataValidation allowBlank="true" errorStyle="stop" operator="between" showDropDown="false" showErrorMessage="false" showInputMessage="false" sqref="S2:S33" type="list">
      <formula1>"Open,Sent to LP,Agreed,Agreed - modified,Withdrawn by LP,Escalated"</formula1>
      <formula2>0</formula2>
    </dataValidation>
    <dataValidation allowBlank="false" errorStyle="stop" operator="between" showDropDown="false" showErrorMessage="false" showInputMessage="false" sqref="L2:L33" type="list">
      <formula1>"Accept,Accept w/ Modifications,Compromise,Reject,Hold - Verify"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20"/>
    <col collapsed="false" customWidth="true" hidden="false" outlineLevel="0" max="3" min="3" style="0" width="24"/>
    <col collapsed="false" customWidth="true" hidden="false" outlineLevel="0" max="12" min="4" style="0" width="20"/>
  </cols>
  <sheetData>
    <row r="1" customFormat="false" ht="17.35" hidden="false" customHeight="false" outlineLevel="0" collapsed="false">
      <c r="A1" s="1" t="s">
        <v>465</v>
      </c>
    </row>
    <row r="2" customFormat="false" ht="15" hidden="false" customHeight="false" outlineLevel="0" collapsed="false">
      <c r="A2" s="19" t="s">
        <v>466</v>
      </c>
    </row>
    <row r="3" customFormat="false" ht="15" hidden="false" customHeight="false" outlineLevel="0" collapsed="false">
      <c r="A3" s="3" t="s">
        <v>467</v>
      </c>
    </row>
    <row r="4" customFormat="false" ht="15" hidden="false" customHeight="false" outlineLevel="0" collapsed="false">
      <c r="A4" s="0" t="s">
        <v>468</v>
      </c>
      <c r="B4" s="20" t="n">
        <v>0.02</v>
      </c>
    </row>
    <row r="5" customFormat="false" ht="15" hidden="false" customHeight="false" outlineLevel="0" collapsed="false">
      <c r="A5" s="0" t="s">
        <v>469</v>
      </c>
      <c r="B5" s="20" t="n">
        <v>0.015</v>
      </c>
    </row>
    <row r="6" customFormat="false" ht="15" hidden="false" customHeight="false" outlineLevel="0" collapsed="false">
      <c r="A6" s="0" t="s">
        <v>470</v>
      </c>
      <c r="B6" s="21" t="n">
        <v>125000000</v>
      </c>
    </row>
    <row r="7" customFormat="false" ht="15" hidden="false" customHeight="false" outlineLevel="0" collapsed="false">
      <c r="A7" s="0" t="s">
        <v>471</v>
      </c>
      <c r="B7" s="21" t="n">
        <v>1800000000</v>
      </c>
    </row>
    <row r="8" customFormat="false" ht="15" hidden="false" customHeight="false" outlineLevel="0" collapsed="false">
      <c r="A8" s="0" t="s">
        <v>472</v>
      </c>
      <c r="B8" s="21" t="n">
        <v>36000000</v>
      </c>
    </row>
    <row r="9" customFormat="false" ht="15" hidden="false" customHeight="false" outlineLevel="0" collapsed="false">
      <c r="A9" s="0" t="s">
        <v>473</v>
      </c>
      <c r="B9" s="22" t="n">
        <v>6</v>
      </c>
    </row>
    <row r="10" customFormat="false" ht="15" hidden="false" customHeight="false" outlineLevel="0" collapsed="false">
      <c r="A10" s="0" t="s">
        <v>474</v>
      </c>
      <c r="B10" s="22" t="n">
        <v>4</v>
      </c>
    </row>
    <row r="11" customFormat="false" ht="15" hidden="false" customHeight="false" outlineLevel="0" collapsed="false">
      <c r="A11" s="0" t="s">
        <v>475</v>
      </c>
      <c r="B11" s="21" t="n">
        <v>1600000000</v>
      </c>
    </row>
    <row r="12" customFormat="false" ht="15" hidden="false" customHeight="false" outlineLevel="0" collapsed="false">
      <c r="A12" s="0" t="s">
        <v>476</v>
      </c>
      <c r="B12" s="23" t="n">
        <f aca="false">'MFN Exposure Map'!B20</f>
        <v>600000000</v>
      </c>
      <c r="C12" s="24" t="s">
        <v>477</v>
      </c>
    </row>
    <row r="13" customFormat="false" ht="15" hidden="false" customHeight="false" outlineLevel="0" collapsed="false">
      <c r="A13" s="0" t="s">
        <v>478</v>
      </c>
      <c r="B13" s="23" t="n">
        <f aca="false">'MFN Exposure Map'!B21</f>
        <v>500000000</v>
      </c>
      <c r="C13" s="24" t="s">
        <v>479</v>
      </c>
    </row>
    <row r="14" customFormat="false" ht="15" hidden="false" customHeight="false" outlineLevel="0" collapsed="false">
      <c r="A14" s="0" t="s">
        <v>480</v>
      </c>
      <c r="B14" s="21" t="n">
        <v>925000000</v>
      </c>
      <c r="C14" s="24" t="s">
        <v>481</v>
      </c>
    </row>
    <row r="15" customFormat="false" ht="15" hidden="false" customHeight="false" outlineLevel="0" collapsed="false">
      <c r="A15" s="0" t="s">
        <v>482</v>
      </c>
      <c r="B15" s="25" t="n">
        <v>1</v>
      </c>
    </row>
    <row r="17" customFormat="false" ht="15" hidden="false" customHeight="false" outlineLevel="0" collapsed="false">
      <c r="A17" s="3" t="s">
        <v>483</v>
      </c>
    </row>
    <row r="18" customFormat="false" ht="15" hidden="false" customHeight="false" outlineLevel="0" collapsed="false">
      <c r="A18" s="0" t="s">
        <v>484</v>
      </c>
      <c r="B18" s="26" t="n">
        <f aca="false">B7-B8</f>
        <v>1764000000</v>
      </c>
    </row>
    <row r="19" customFormat="false" ht="15" hidden="false" customHeight="false" outlineLevel="0" collapsed="false">
      <c r="A19" s="0" t="s">
        <v>485</v>
      </c>
      <c r="B19" s="26" t="n">
        <f aca="false">B4*B7</f>
        <v>36000000</v>
      </c>
    </row>
    <row r="20" customFormat="false" ht="15" hidden="false" customHeight="false" outlineLevel="0" collapsed="false">
      <c r="A20" s="0" t="s">
        <v>486</v>
      </c>
      <c r="B20" s="26" t="n">
        <f aca="false">B19*B9</f>
        <v>216000000</v>
      </c>
    </row>
    <row r="21" customFormat="false" ht="15" hidden="false" customHeight="false" outlineLevel="0" collapsed="false">
      <c r="A21" s="0" t="s">
        <v>487</v>
      </c>
      <c r="B21" s="26" t="n">
        <f aca="false">B5*B11*B10</f>
        <v>96000000</v>
      </c>
    </row>
    <row r="22" customFormat="false" ht="15" hidden="false" customHeight="false" outlineLevel="0" collapsed="false">
      <c r="A22" s="0" t="s">
        <v>488</v>
      </c>
      <c r="B22" s="26" t="n">
        <f aca="false">B20+B21</f>
        <v>312000000</v>
      </c>
    </row>
    <row r="23" customFormat="false" ht="15" hidden="false" customHeight="false" outlineLevel="0" collapsed="false">
      <c r="A23" s="0" t="s">
        <v>489</v>
      </c>
      <c r="B23" s="26" t="n">
        <f aca="false">B4*B18</f>
        <v>35280000</v>
      </c>
    </row>
    <row r="24" customFormat="false" ht="15" hidden="false" customHeight="false" outlineLevel="0" collapsed="false">
      <c r="A24" s="0" t="s">
        <v>490</v>
      </c>
      <c r="B24" s="26" t="n">
        <f aca="false">B11*B6/B7</f>
        <v>111111111.111111</v>
      </c>
    </row>
    <row r="26" customFormat="false" ht="15" hidden="false" customHeight="false" outlineLevel="0" collapsed="false">
      <c r="A26" s="3" t="s">
        <v>491</v>
      </c>
    </row>
    <row r="27" customFormat="false" ht="35.05" hidden="false" customHeight="false" outlineLevel="0" collapsed="false">
      <c r="A27" s="4" t="s">
        <v>492</v>
      </c>
      <c r="B27" s="4" t="s">
        <v>493</v>
      </c>
      <c r="C27" s="4" t="s">
        <v>494</v>
      </c>
      <c r="D27" s="4" t="s">
        <v>495</v>
      </c>
      <c r="E27" s="4" t="s">
        <v>496</v>
      </c>
      <c r="F27" s="4" t="s">
        <v>497</v>
      </c>
      <c r="G27" s="4" t="s">
        <v>498</v>
      </c>
      <c r="H27" s="4" t="s">
        <v>499</v>
      </c>
      <c r="I27" s="4" t="s">
        <v>500</v>
      </c>
      <c r="J27" s="4" t="s">
        <v>501</v>
      </c>
      <c r="K27" s="4" t="s">
        <v>502</v>
      </c>
      <c r="L27" s="4" t="s">
        <v>503</v>
      </c>
    </row>
    <row r="28" customFormat="false" ht="15" hidden="false" customHeight="false" outlineLevel="0" collapsed="false">
      <c r="A28" s="0" t="s">
        <v>504</v>
      </c>
      <c r="B28" s="20" t="n">
        <v>0.019</v>
      </c>
      <c r="C28" s="27" t="n">
        <f aca="false">($B$4-B28)*10000</f>
        <v>10</v>
      </c>
      <c r="D28" s="26" t="n">
        <f aca="false">($B$4-B28)*$B$6</f>
        <v>125000</v>
      </c>
      <c r="E28" s="26" t="n">
        <f aca="false">D28*$B$9</f>
        <v>750000.000000001</v>
      </c>
      <c r="F28" s="26" t="n">
        <f aca="false">($B$4-B28)*$B$12</f>
        <v>600000.000000001</v>
      </c>
      <c r="G28" s="26" t="n">
        <f aca="false">F28*$B$9</f>
        <v>3600000</v>
      </c>
      <c r="H28" s="26" t="n">
        <f aca="false">E28+G28</f>
        <v>4350000.00000001</v>
      </c>
      <c r="I28" s="28" t="n">
        <f aca="false">H28/$B$20</f>
        <v>0.0201388888888889</v>
      </c>
      <c r="J28" s="26" t="n">
        <f aca="false">($B$4-B28)*$B$13*$B$9</f>
        <v>3000000</v>
      </c>
      <c r="K28" s="26" t="n">
        <f aca="false">($B$4-B28)*$B$14*$B$9</f>
        <v>5550000.00000001</v>
      </c>
      <c r="L28" s="26" t="n">
        <f aca="false">($B$4-B28)*$B$18*$B$9</f>
        <v>10584000</v>
      </c>
    </row>
    <row r="29" customFormat="false" ht="15" hidden="false" customHeight="false" outlineLevel="0" collapsed="false">
      <c r="A29" s="0" t="s">
        <v>505</v>
      </c>
      <c r="B29" s="20" t="n">
        <v>0.0185</v>
      </c>
      <c r="C29" s="27" t="n">
        <f aca="false">($B$4-B29)*10000</f>
        <v>15</v>
      </c>
      <c r="D29" s="26" t="n">
        <f aca="false">($B$4-B29)*$B$6</f>
        <v>187500</v>
      </c>
      <c r="E29" s="26" t="n">
        <f aca="false">D29*$B$9</f>
        <v>1125000</v>
      </c>
      <c r="F29" s="26" t="n">
        <f aca="false">($B$4-B29)*$B$12</f>
        <v>900000.000000001</v>
      </c>
      <c r="G29" s="26" t="n">
        <f aca="false">F29*$B$9</f>
        <v>5400000.00000001</v>
      </c>
      <c r="H29" s="26" t="n">
        <f aca="false">E29+G29</f>
        <v>6525000.00000001</v>
      </c>
      <c r="I29" s="28" t="n">
        <f aca="false">H29/$B$20</f>
        <v>0.0302083333333334</v>
      </c>
      <c r="J29" s="26" t="n">
        <f aca="false">($B$4-B29)*$B$13*$B$9</f>
        <v>4500000</v>
      </c>
      <c r="K29" s="26" t="n">
        <f aca="false">($B$4-B29)*$B$14*$B$9</f>
        <v>8325000.00000001</v>
      </c>
      <c r="L29" s="26" t="n">
        <f aca="false">($B$4-B29)*$B$18*$B$9</f>
        <v>15876000</v>
      </c>
    </row>
    <row r="30" customFormat="false" ht="15" hidden="false" customHeight="false" outlineLevel="0" collapsed="false">
      <c r="A30" s="0" t="s">
        <v>506</v>
      </c>
      <c r="B30" s="20" t="n">
        <v>0.0175</v>
      </c>
      <c r="C30" s="27" t="n">
        <f aca="false">($B$4-B30)*10000</f>
        <v>25</v>
      </c>
      <c r="D30" s="26" t="n">
        <f aca="false">($B$4-B30)*$B$6</f>
        <v>312500</v>
      </c>
      <c r="E30" s="26" t="n">
        <f aca="false">D30*$B$9</f>
        <v>1875000</v>
      </c>
      <c r="F30" s="26" t="n">
        <f aca="false">($B$4-B30)*$B$12</f>
        <v>1500000</v>
      </c>
      <c r="G30" s="26" t="n">
        <f aca="false">F30*$B$9</f>
        <v>9000000</v>
      </c>
      <c r="H30" s="26" t="n">
        <f aca="false">E30+G30</f>
        <v>10875000</v>
      </c>
      <c r="I30" s="28" t="n">
        <f aca="false">H30/$B$20</f>
        <v>0.0503472222222222</v>
      </c>
      <c r="J30" s="26" t="n">
        <f aca="false">($B$4-B30)*$B$13*$B$9</f>
        <v>7500000</v>
      </c>
      <c r="K30" s="26" t="n">
        <f aca="false">($B$4-B30)*$B$14*$B$9</f>
        <v>13875000</v>
      </c>
      <c r="L30" s="26" t="n">
        <f aca="false">($B$4-B30)*$B$18*$B$9</f>
        <v>26460000</v>
      </c>
    </row>
    <row r="32" customFormat="false" ht="15" hidden="false" customHeight="false" outlineLevel="0" collapsed="false">
      <c r="A32" s="3" t="s">
        <v>507</v>
      </c>
    </row>
    <row r="33" customFormat="false" ht="23.85" hidden="false" customHeight="false" outlineLevel="0" collapsed="false">
      <c r="A33" s="4" t="s">
        <v>508</v>
      </c>
      <c r="B33" s="4" t="s">
        <v>509</v>
      </c>
      <c r="C33" s="4" t="s">
        <v>494</v>
      </c>
      <c r="D33" s="4" t="s">
        <v>495</v>
      </c>
      <c r="E33" s="4" t="s">
        <v>510</v>
      </c>
      <c r="F33" s="4" t="s">
        <v>511</v>
      </c>
      <c r="G33" s="4" t="s">
        <v>512</v>
      </c>
      <c r="H33" s="4" t="s">
        <v>513</v>
      </c>
    </row>
    <row r="34" customFormat="false" ht="15" hidden="false" customHeight="false" outlineLevel="0" collapsed="false">
      <c r="A34" s="0" t="s">
        <v>514</v>
      </c>
      <c r="B34" s="20" t="n">
        <v>0.0125</v>
      </c>
      <c r="C34" s="27" t="n">
        <f aca="false">($B$5-B34)*10000</f>
        <v>25</v>
      </c>
      <c r="D34" s="26" t="n">
        <f aca="false">($B$5-B34)*$B$24</f>
        <v>277777.777777778</v>
      </c>
      <c r="E34" s="26" t="n">
        <f aca="false">D34*$B$10</f>
        <v>1111111.11111111</v>
      </c>
      <c r="F34" s="26" t="n">
        <f aca="false">($B$5-B34)*$B$12*$B$11/$B$7</f>
        <v>1333333.33333333</v>
      </c>
      <c r="G34" s="26" t="n">
        <f aca="false">F34*$B$10</f>
        <v>5333333.33333333</v>
      </c>
      <c r="H34" s="26" t="n">
        <f aca="false">E34+G34</f>
        <v>6444444.44444444</v>
      </c>
    </row>
    <row r="36" customFormat="false" ht="15" hidden="false" customHeight="false" outlineLevel="0" collapsed="false">
      <c r="A36" s="3" t="s">
        <v>515</v>
      </c>
      <c r="H36" s="29" t="n">
        <f aca="false">H30+H34</f>
        <v>17319444.4444444</v>
      </c>
    </row>
    <row r="37" customFormat="false" ht="15" hidden="false" customHeight="false" outlineLevel="0" collapsed="false">
      <c r="A37" s="0" t="s">
        <v>516</v>
      </c>
      <c r="H37" s="28" t="n">
        <f aca="false">H36/$B$22</f>
        <v>0.0555110398860399</v>
      </c>
    </row>
    <row r="39" customFormat="false" ht="15" hidden="false" customHeight="false" outlineLevel="0" collapsed="false">
      <c r="A39" s="3" t="s">
        <v>517</v>
      </c>
    </row>
    <row r="40" customFormat="false" ht="15" hidden="false" customHeight="false" outlineLevel="0" collapsed="false">
      <c r="A40" s="4" t="s">
        <v>508</v>
      </c>
      <c r="B40" s="4" t="s">
        <v>518</v>
      </c>
      <c r="C40" s="4" t="s">
        <v>519</v>
      </c>
      <c r="D40" s="4" t="s">
        <v>520</v>
      </c>
      <c r="E40" s="4" t="s">
        <v>521</v>
      </c>
    </row>
    <row r="41" customFormat="false" ht="15" hidden="false" customHeight="false" outlineLevel="0" collapsed="false">
      <c r="A41" s="0" t="s">
        <v>522</v>
      </c>
      <c r="B41" s="26" t="n">
        <f aca="false">B6*B15</f>
        <v>125000000</v>
      </c>
      <c r="C41" s="26" t="n">
        <f aca="false">B41*0.2</f>
        <v>25000000</v>
      </c>
      <c r="D41" s="26" t="n">
        <f aca="false">B41*0.15</f>
        <v>18750000</v>
      </c>
      <c r="E41" s="26" t="n">
        <f aca="false">C41-D41</f>
        <v>6250000</v>
      </c>
    </row>
    <row r="42" customFormat="false" ht="15" hidden="false" customHeight="false" outlineLevel="0" collapsed="false">
      <c r="A42" s="0" t="s">
        <v>523</v>
      </c>
      <c r="B42" s="26" t="n">
        <f aca="false">B12*B15</f>
        <v>600000000</v>
      </c>
      <c r="C42" s="26" t="n">
        <f aca="false">B42*0.2</f>
        <v>120000000</v>
      </c>
      <c r="D42" s="26" t="n">
        <f aca="false">B42*0.15</f>
        <v>90000000</v>
      </c>
      <c r="E42" s="26" t="n">
        <f aca="false">C42-D42</f>
        <v>30000000</v>
      </c>
    </row>
    <row r="43" customFormat="false" ht="15" hidden="false" customHeight="false" outlineLevel="0" collapsed="false">
      <c r="A43" s="0" t="s">
        <v>524</v>
      </c>
      <c r="B43" s="26" t="n">
        <f aca="false">B18*B15</f>
        <v>1764000000</v>
      </c>
      <c r="C43" s="26" t="n">
        <f aca="false">B43*0.2</f>
        <v>352800000</v>
      </c>
      <c r="D43" s="26" t="n">
        <f aca="false">B43*0.15</f>
        <v>264600000</v>
      </c>
      <c r="E43" s="26" t="n">
        <f aca="false">C43-D43</f>
        <v>88200000</v>
      </c>
    </row>
    <row r="45" customFormat="false" ht="15" hidden="false" customHeight="false" outlineLevel="0" collapsed="false">
      <c r="A45" s="19" t="s">
        <v>525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8"/>
    <col collapsed="false" customWidth="true" hidden="false" outlineLevel="0" max="4" min="4" style="0" width="14"/>
    <col collapsed="false" customWidth="true" hidden="false" outlineLevel="0" max="7" min="5" style="0" width="20"/>
    <col collapsed="false" customWidth="true" hidden="false" outlineLevel="0" max="8" min="8" style="0" width="70"/>
    <col collapsed="false" customWidth="true" hidden="false" outlineLevel="0" max="9" min="9" style="0" width="12"/>
  </cols>
  <sheetData>
    <row r="1" customFormat="false" ht="17.35" hidden="false" customHeight="false" outlineLevel="0" collapsed="false">
      <c r="A1" s="1" t="s">
        <v>526</v>
      </c>
    </row>
    <row r="2" customFormat="false" ht="60" hidden="false" customHeight="true" outlineLevel="0" collapsed="false">
      <c r="A2" s="4" t="s">
        <v>527</v>
      </c>
      <c r="B2" s="4" t="s">
        <v>528</v>
      </c>
      <c r="C2" s="4" t="s">
        <v>529</v>
      </c>
      <c r="D2" s="4" t="s">
        <v>530</v>
      </c>
      <c r="E2" s="4" t="s">
        <v>531</v>
      </c>
      <c r="F2" s="4" t="s">
        <v>532</v>
      </c>
      <c r="G2" s="4" t="s">
        <v>533</v>
      </c>
      <c r="H2" s="4" t="s">
        <v>534</v>
      </c>
      <c r="I2" s="4" t="s">
        <v>535</v>
      </c>
    </row>
    <row r="3" customFormat="false" ht="28.35" hidden="false" customHeight="false" outlineLevel="0" collapsed="false">
      <c r="A3" s="0" t="s">
        <v>536</v>
      </c>
      <c r="B3" s="30" t="n">
        <v>200000000</v>
      </c>
      <c r="C3" s="24" t="s">
        <v>537</v>
      </c>
      <c r="D3" s="0" t="str">
        <f aca="false">IF(B3&gt;=75000000,"Y","N")</f>
        <v>Y</v>
      </c>
      <c r="E3" s="0" t="str">
        <f aca="false">IF(AND(B3&gt;=75000000,B3*1.5&gt;=$B$23),"Y","N")</f>
        <v>Y</v>
      </c>
      <c r="F3" s="0" t="str">
        <f aca="false">IF(B3&gt;=$B$23,"Y","N")</f>
        <v>Y</v>
      </c>
      <c r="G3" s="0" t="str">
        <f aca="false">IF(B3&lt;=$B$23*1.5,"Y","N")</f>
        <v>N</v>
      </c>
      <c r="H3" s="31" t="s">
        <v>538</v>
      </c>
      <c r="I3" s="24" t="s">
        <v>539</v>
      </c>
    </row>
    <row r="4" customFormat="false" ht="28.35" hidden="false" customHeight="false" outlineLevel="0" collapsed="false">
      <c r="A4" s="0" t="s">
        <v>540</v>
      </c>
      <c r="B4" s="30" t="n">
        <v>175000000</v>
      </c>
      <c r="C4" s="24" t="s">
        <v>541</v>
      </c>
      <c r="D4" s="0" t="str">
        <f aca="false">IF(B4&gt;=75000000,"Y","N")</f>
        <v>Y</v>
      </c>
      <c r="E4" s="0" t="str">
        <f aca="false">IF(AND(B4&gt;=75000000,B4*1.5&gt;=$B$23),"Y","N")</f>
        <v>Y</v>
      </c>
      <c r="F4" s="0" t="str">
        <f aca="false">IF(B4&gt;=$B$23,"Y","N")</f>
        <v>Y</v>
      </c>
      <c r="G4" s="0" t="str">
        <f aca="false">IF(B4&lt;=$B$23*1.5,"Y","N")</f>
        <v>Y</v>
      </c>
      <c r="H4" s="31" t="s">
        <v>542</v>
      </c>
      <c r="I4" s="24" t="s">
        <v>539</v>
      </c>
    </row>
    <row r="5" customFormat="false" ht="28.35" hidden="false" customHeight="false" outlineLevel="0" collapsed="false">
      <c r="A5" s="0" t="s">
        <v>543</v>
      </c>
      <c r="B5" s="30" t="n">
        <v>100000000</v>
      </c>
      <c r="C5" s="24" t="s">
        <v>544</v>
      </c>
      <c r="D5" s="0" t="str">
        <f aca="false">IF(B5&gt;=75000000,"Y","N")</f>
        <v>Y</v>
      </c>
      <c r="E5" s="0" t="str">
        <f aca="false">IF(AND(B5&gt;=75000000,B5*1.5&gt;=$B$23),"Y","N")</f>
        <v>Y</v>
      </c>
      <c r="F5" s="0" t="str">
        <f aca="false">IF(B5&gt;=$B$23,"Y","N")</f>
        <v>N</v>
      </c>
      <c r="G5" s="0" t="str">
        <f aca="false">IF(B5&lt;=$B$23*1.5,"Y","N")</f>
        <v>Y</v>
      </c>
      <c r="H5" s="31" t="s">
        <v>545</v>
      </c>
      <c r="I5" s="24" t="s">
        <v>546</v>
      </c>
    </row>
    <row r="6" customFormat="false" ht="15" hidden="false" customHeight="false" outlineLevel="0" collapsed="false">
      <c r="A6" s="0" t="s">
        <v>547</v>
      </c>
      <c r="B6" s="30" t="n">
        <v>40000000</v>
      </c>
      <c r="C6" s="24" t="s">
        <v>548</v>
      </c>
      <c r="D6" s="0" t="str">
        <f aca="false">IF(B6&gt;=75000000,"Y","N")</f>
        <v>N</v>
      </c>
      <c r="E6" s="0" t="str">
        <f aca="false">IF(AND(B6&gt;=75000000,B6*1.5&gt;=$B$23),"Y","N")</f>
        <v>N</v>
      </c>
      <c r="F6" s="0" t="str">
        <f aca="false">IF(B6&gt;=$B$23,"Y","N")</f>
        <v>N</v>
      </c>
      <c r="G6" s="0" t="str">
        <f aca="false">IF(B6&lt;=$B$23*1.5,"Y","N")</f>
        <v>Y</v>
      </c>
      <c r="H6" s="31" t="s">
        <v>549</v>
      </c>
      <c r="I6" s="24" t="s">
        <v>546</v>
      </c>
    </row>
    <row r="7" customFormat="false" ht="28.35" hidden="false" customHeight="false" outlineLevel="0" collapsed="false">
      <c r="A7" s="0" t="s">
        <v>550</v>
      </c>
      <c r="B7" s="30" t="n">
        <v>125000000</v>
      </c>
      <c r="C7" s="24" t="s">
        <v>537</v>
      </c>
      <c r="D7" s="0" t="str">
        <f aca="false">IF(B7&gt;=75000000,"Y","N")</f>
        <v>Y</v>
      </c>
      <c r="E7" s="0" t="str">
        <f aca="false">IF(AND(B7&gt;=75000000,B7*1.5&gt;=$B$23),"Y","N")</f>
        <v>Y</v>
      </c>
      <c r="F7" s="0" t="str">
        <f aca="false">IF(B7&gt;=$B$23,"Y","N")</f>
        <v>Y</v>
      </c>
      <c r="G7" s="0" t="str">
        <f aca="false">IF(B7&lt;=$B$23*1.5,"Y","N")</f>
        <v>Y</v>
      </c>
      <c r="H7" s="31" t="s">
        <v>551</v>
      </c>
      <c r="I7" s="24" t="s">
        <v>539</v>
      </c>
    </row>
    <row r="8" customFormat="false" ht="15" hidden="false" customHeight="false" outlineLevel="0" collapsed="false">
      <c r="A8" s="0" t="s">
        <v>552</v>
      </c>
      <c r="B8" s="30" t="n">
        <v>75000000</v>
      </c>
      <c r="C8" s="24" t="s">
        <v>553</v>
      </c>
      <c r="D8" s="0" t="str">
        <f aca="false">IF(B8&gt;=75000000,"Y","N")</f>
        <v>Y</v>
      </c>
      <c r="E8" s="0" t="str">
        <f aca="false">IF(AND(B8&gt;=75000000,B8*1.5&gt;=$B$23),"Y","N")</f>
        <v>N</v>
      </c>
      <c r="F8" s="0" t="str">
        <f aca="false">IF(B8&gt;=$B$23,"Y","N")</f>
        <v>N</v>
      </c>
      <c r="G8" s="0" t="str">
        <f aca="false">IF(B8&lt;=$B$23*1.5,"Y","N")</f>
        <v>Y</v>
      </c>
      <c r="H8" s="31" t="s">
        <v>554</v>
      </c>
      <c r="I8" s="24" t="s">
        <v>539</v>
      </c>
    </row>
    <row r="9" customFormat="false" ht="28.35" hidden="false" customHeight="false" outlineLevel="0" collapsed="false">
      <c r="A9" s="0" t="s">
        <v>555</v>
      </c>
      <c r="B9" s="30" t="n">
        <v>80000000</v>
      </c>
      <c r="C9" s="24" t="s">
        <v>537</v>
      </c>
      <c r="D9" s="0" t="str">
        <f aca="false">IF(B9&gt;=75000000,"Y","N")</f>
        <v>Y</v>
      </c>
      <c r="E9" s="0" t="str">
        <f aca="false">IF(AND(B9&gt;=75000000,B9*1.5&gt;=$B$23),"Y","N")</f>
        <v>N</v>
      </c>
      <c r="F9" s="0" t="str">
        <f aca="false">IF(B9&gt;=$B$23,"Y","N")</f>
        <v>N</v>
      </c>
      <c r="G9" s="0" t="str">
        <f aca="false">IF(B9&lt;=$B$23*1.5,"Y","N")</f>
        <v>Y</v>
      </c>
      <c r="H9" s="31" t="s">
        <v>556</v>
      </c>
      <c r="I9" s="24" t="s">
        <v>539</v>
      </c>
    </row>
    <row r="10" customFormat="false" ht="15" hidden="false" customHeight="false" outlineLevel="0" collapsed="false">
      <c r="A10" s="0" t="s">
        <v>557</v>
      </c>
      <c r="B10" s="30" t="n">
        <v>50000000</v>
      </c>
      <c r="C10" s="24" t="s">
        <v>558</v>
      </c>
      <c r="D10" s="0" t="str">
        <f aca="false">IF(B10&gt;=75000000,"Y","N")</f>
        <v>N</v>
      </c>
      <c r="E10" s="0" t="str">
        <f aca="false">IF(AND(B10&gt;=75000000,B10*1.5&gt;=$B$23),"Y","N")</f>
        <v>N</v>
      </c>
      <c r="F10" s="0" t="str">
        <f aca="false">IF(B10&gt;=$B$23,"Y","N")</f>
        <v>N</v>
      </c>
      <c r="G10" s="0" t="str">
        <f aca="false">IF(B10&lt;=$B$23*1.5,"Y","N")</f>
        <v>Y</v>
      </c>
      <c r="H10" s="31" t="s">
        <v>559</v>
      </c>
      <c r="I10" s="24" t="s">
        <v>546</v>
      </c>
    </row>
    <row r="11" customFormat="false" ht="15" hidden="false" customHeight="false" outlineLevel="0" collapsed="false">
      <c r="A11" s="0" t="s">
        <v>560</v>
      </c>
      <c r="B11" s="30" t="n">
        <v>30000000</v>
      </c>
      <c r="C11" s="24" t="s">
        <v>561</v>
      </c>
      <c r="D11" s="0" t="str">
        <f aca="false">IF(B11&gt;=75000000,"Y","N")</f>
        <v>N</v>
      </c>
      <c r="E11" s="0" t="str">
        <f aca="false">IF(AND(B11&gt;=75000000,B11*1.5&gt;=$B$23),"Y","N")</f>
        <v>N</v>
      </c>
      <c r="F11" s="0" t="str">
        <f aca="false">IF(B11&gt;=$B$23,"Y","N")</f>
        <v>N</v>
      </c>
      <c r="G11" s="0" t="str">
        <f aca="false">IF(B11&lt;=$B$23*1.5,"Y","N")</f>
        <v>Y</v>
      </c>
      <c r="H11" s="31" t="s">
        <v>562</v>
      </c>
      <c r="I11" s="24" t="s">
        <v>539</v>
      </c>
    </row>
    <row r="12" customFormat="false" ht="15" hidden="false" customHeight="false" outlineLevel="0" collapsed="false">
      <c r="A12" s="0" t="s">
        <v>563</v>
      </c>
      <c r="B12" s="30" t="n">
        <v>25000000</v>
      </c>
      <c r="C12" s="24" t="s">
        <v>537</v>
      </c>
      <c r="D12" s="0" t="str">
        <f aca="false">IF(B12&gt;=75000000,"Y","N")</f>
        <v>N</v>
      </c>
      <c r="E12" s="0" t="str">
        <f aca="false">IF(AND(B12&gt;=75000000,B12*1.5&gt;=$B$23),"Y","N")</f>
        <v>N</v>
      </c>
      <c r="F12" s="0" t="str">
        <f aca="false">IF(B12&gt;=$B$23,"Y","N")</f>
        <v>N</v>
      </c>
      <c r="G12" s="0" t="str">
        <f aca="false">IF(B12&lt;=$B$23*1.5,"Y","N")</f>
        <v>Y</v>
      </c>
      <c r="H12" s="31" t="s">
        <v>564</v>
      </c>
      <c r="I12" s="24" t="s">
        <v>539</v>
      </c>
    </row>
    <row r="13" customFormat="false" ht="15" hidden="false" customHeight="false" outlineLevel="0" collapsed="false">
      <c r="A13" s="0" t="s">
        <v>565</v>
      </c>
      <c r="B13" s="30" t="n">
        <v>20000000</v>
      </c>
      <c r="C13" s="24" t="s">
        <v>561</v>
      </c>
      <c r="D13" s="0" t="str">
        <f aca="false">IF(B13&gt;=75000000,"Y","N")</f>
        <v>N</v>
      </c>
      <c r="E13" s="0" t="str">
        <f aca="false">IF(AND(B13&gt;=75000000,B13*1.5&gt;=$B$23),"Y","N")</f>
        <v>N</v>
      </c>
      <c r="F13" s="0" t="str">
        <f aca="false">IF(B13&gt;=$B$23,"Y","N")</f>
        <v>N</v>
      </c>
      <c r="G13" s="0" t="str">
        <f aca="false">IF(B13&lt;=$B$23*1.5,"Y","N")</f>
        <v>Y</v>
      </c>
      <c r="H13" s="31" t="s">
        <v>566</v>
      </c>
      <c r="I13" s="24" t="s">
        <v>546</v>
      </c>
    </row>
    <row r="14" customFormat="false" ht="15" hidden="false" customHeight="false" outlineLevel="0" collapsed="false">
      <c r="A14" s="0" t="s">
        <v>567</v>
      </c>
      <c r="B14" s="30" t="n">
        <v>25000000</v>
      </c>
      <c r="C14" s="24" t="s">
        <v>558</v>
      </c>
      <c r="D14" s="0" t="str">
        <f aca="false">IF(B14&gt;=75000000,"Y","N")</f>
        <v>N</v>
      </c>
      <c r="E14" s="0" t="str">
        <f aca="false">IF(AND(B14&gt;=75000000,B14*1.5&gt;=$B$23),"Y","N")</f>
        <v>N</v>
      </c>
      <c r="F14" s="0" t="str">
        <f aca="false">IF(B14&gt;=$B$23,"Y","N")</f>
        <v>N</v>
      </c>
      <c r="G14" s="0" t="str">
        <f aca="false">IF(B14&lt;=$B$23*1.5,"Y","N")</f>
        <v>Y</v>
      </c>
      <c r="H14" s="31" t="s">
        <v>568</v>
      </c>
      <c r="I14" s="24" t="s">
        <v>539</v>
      </c>
    </row>
    <row r="15" customFormat="false" ht="28.35" hidden="false" customHeight="false" outlineLevel="0" collapsed="false">
      <c r="A15" s="0" t="s">
        <v>569</v>
      </c>
      <c r="B15" s="30" t="n">
        <v>20000000</v>
      </c>
      <c r="C15" s="24" t="s">
        <v>570</v>
      </c>
      <c r="D15" s="0" t="str">
        <f aca="false">IF(B15&gt;=75000000,"Y","N")</f>
        <v>N</v>
      </c>
      <c r="E15" s="0" t="str">
        <f aca="false">IF(AND(B15&gt;=75000000,B15*1.5&gt;=$B$23),"Y","N")</f>
        <v>N</v>
      </c>
      <c r="F15" s="0" t="str">
        <f aca="false">IF(B15&gt;=$B$23,"Y","N")</f>
        <v>N</v>
      </c>
      <c r="G15" s="0" t="str">
        <f aca="false">IF(B15&lt;=$B$23*1.5,"Y","N")</f>
        <v>Y</v>
      </c>
      <c r="H15" s="31" t="s">
        <v>571</v>
      </c>
      <c r="I15" s="24" t="s">
        <v>539</v>
      </c>
    </row>
    <row r="16" customFormat="false" ht="15" hidden="false" customHeight="false" outlineLevel="0" collapsed="false">
      <c r="A16" s="0" t="s">
        <v>572</v>
      </c>
      <c r="B16" s="30" t="n">
        <v>15000000</v>
      </c>
      <c r="C16" s="24" t="s">
        <v>573</v>
      </c>
      <c r="D16" s="0" t="str">
        <f aca="false">IF(B16&gt;=75000000,"Y","N")</f>
        <v>N</v>
      </c>
      <c r="E16" s="0" t="str">
        <f aca="false">IF(AND(B16&gt;=75000000,B16*1.5&gt;=$B$23),"Y","N")</f>
        <v>N</v>
      </c>
      <c r="F16" s="0" t="str">
        <f aca="false">IF(B16&gt;=$B$23,"Y","N")</f>
        <v>N</v>
      </c>
      <c r="G16" s="0" t="str">
        <f aca="false">IF(B16&lt;=$B$23*1.5,"Y","N")</f>
        <v>Y</v>
      </c>
      <c r="H16" s="31" t="s">
        <v>574</v>
      </c>
      <c r="I16" s="24" t="s">
        <v>546</v>
      </c>
    </row>
    <row r="17" customFormat="false" ht="15" hidden="false" customHeight="false" outlineLevel="0" collapsed="false">
      <c r="A17" s="3" t="s">
        <v>575</v>
      </c>
      <c r="B17" s="26" t="n">
        <f aca="false">SUM(B3:B16)</f>
        <v>980000000</v>
      </c>
    </row>
    <row r="18" customFormat="false" ht="15" hidden="false" customHeight="false" outlineLevel="0" collapsed="false">
      <c r="A18" s="0" t="s">
        <v>576</v>
      </c>
      <c r="B18" s="26" t="n">
        <f aca="false">SUMIF(I3:I16,"Y",B3:B16)</f>
        <v>225000000</v>
      </c>
    </row>
    <row r="19" customFormat="false" ht="15" hidden="false" customHeight="false" outlineLevel="0" collapsed="false">
      <c r="A19" s="0" t="s">
        <v>577</v>
      </c>
      <c r="B19" s="26" t="n">
        <f aca="false">B18*0.015</f>
        <v>3375000</v>
      </c>
    </row>
    <row r="20" customFormat="false" ht="15" hidden="false" customHeight="false" outlineLevel="0" collapsed="false">
      <c r="A20" s="0" t="s">
        <v>578</v>
      </c>
      <c r="B20" s="26" t="n">
        <f aca="false">SUMIF(E3:E16,"Y",B3:B16)</f>
        <v>600000000</v>
      </c>
    </row>
    <row r="21" customFormat="false" ht="15" hidden="false" customHeight="false" outlineLevel="0" collapsed="false">
      <c r="A21" s="0" t="s">
        <v>579</v>
      </c>
      <c r="B21" s="26" t="n">
        <f aca="false">SUMIF(F3:F16,"Y",B3:B16)</f>
        <v>500000000</v>
      </c>
    </row>
    <row r="22" customFormat="false" ht="15" hidden="false" customHeight="false" outlineLevel="0" collapsed="false">
      <c r="A22" s="0" t="s">
        <v>580</v>
      </c>
      <c r="B22" s="0" t="n">
        <f aca="false">COUNTIF(B3:B16,"&gt;="&amp;100000000)</f>
        <v>4</v>
      </c>
    </row>
    <row r="23" customFormat="false" ht="15" hidden="false" customHeight="false" outlineLevel="0" collapsed="false">
      <c r="A23" s="0" t="s">
        <v>581</v>
      </c>
      <c r="B23" s="21" t="n">
        <v>125000000</v>
      </c>
    </row>
    <row r="25" customFormat="false" ht="75" hidden="false" customHeight="true" outlineLevel="0" collapsed="false">
      <c r="A25" s="32" t="s">
        <v>582</v>
      </c>
      <c r="B25" s="32"/>
      <c r="C25" s="32"/>
      <c r="D25" s="32"/>
      <c r="E25" s="32"/>
      <c r="F25" s="32"/>
      <c r="G25" s="32"/>
      <c r="H25" s="32"/>
      <c r="I25" s="32"/>
    </row>
  </sheetData>
  <mergeCells count="1">
    <mergeCell ref="A25:I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0"/>
    <col collapsed="false" customWidth="true" hidden="false" outlineLevel="0" max="6" min="2" style="0" width="24"/>
  </cols>
  <sheetData>
    <row r="1" customFormat="false" ht="17.35" hidden="false" customHeight="false" outlineLevel="0" collapsed="false">
      <c r="A1" s="1" t="s">
        <v>583</v>
      </c>
    </row>
    <row r="2" customFormat="false" ht="15" hidden="false" customHeight="false" outlineLevel="0" collapsed="false">
      <c r="A2" s="19" t="s">
        <v>584</v>
      </c>
    </row>
    <row r="4" customFormat="false" ht="15" hidden="false" customHeight="false" outlineLevel="0" collapsed="false">
      <c r="A4" s="0" t="s">
        <v>585</v>
      </c>
      <c r="B4" s="21" t="n">
        <v>980000000</v>
      </c>
    </row>
    <row r="5" customFormat="false" ht="15" hidden="false" customHeight="false" outlineLevel="0" collapsed="false">
      <c r="A5" s="0" t="s">
        <v>586</v>
      </c>
      <c r="B5" s="21" t="n">
        <v>125000000</v>
      </c>
    </row>
    <row r="6" customFormat="false" ht="15" hidden="false" customHeight="false" outlineLevel="0" collapsed="false">
      <c r="A6" s="0" t="s">
        <v>587</v>
      </c>
      <c r="B6" s="23" t="n">
        <f aca="false">'Fee &amp; MFN Sensitivity'!B18</f>
        <v>1764000000</v>
      </c>
    </row>
    <row r="7" customFormat="false" ht="15" hidden="false" customHeight="false" outlineLevel="0" collapsed="false">
      <c r="A7" s="0" t="s">
        <v>588</v>
      </c>
      <c r="B7" s="26" t="n">
        <f aca="false">B4+B5</f>
        <v>1105000000</v>
      </c>
    </row>
    <row r="8" customFormat="false" ht="15" hidden="false" customHeight="false" outlineLevel="0" collapsed="false">
      <c r="A8" s="0" t="s">
        <v>589</v>
      </c>
      <c r="B8" s="26" t="n">
        <f aca="false">200000000+175000000+125000000+100000000+B5</f>
        <v>725000000</v>
      </c>
    </row>
    <row r="10" customFormat="false" ht="23.85" hidden="false" customHeight="false" outlineLevel="0" collapsed="false">
      <c r="A10" s="4" t="s">
        <v>590</v>
      </c>
      <c r="B10" s="4" t="s">
        <v>591</v>
      </c>
      <c r="C10" s="4" t="s">
        <v>592</v>
      </c>
      <c r="D10" s="4" t="s">
        <v>593</v>
      </c>
      <c r="E10" s="4" t="s">
        <v>594</v>
      </c>
      <c r="F10" s="33" t="s">
        <v>595</v>
      </c>
    </row>
    <row r="11" customFormat="false" ht="15" hidden="false" customHeight="false" outlineLevel="0" collapsed="false">
      <c r="A11" s="0" t="s">
        <v>596</v>
      </c>
      <c r="B11" s="26" t="n">
        <f aca="false">F11*$B$6</f>
        <v>1058400000</v>
      </c>
      <c r="C11" s="26" t="n">
        <f aca="false">F11*$B$7</f>
        <v>663000000</v>
      </c>
      <c r="D11" s="0" t="str">
        <f aca="false">IF($B$8&gt;=C11,"YES - 5 LPs suffice","No")</f>
        <v>YES - 5 LPs suffice</v>
      </c>
      <c r="E11" s="24" t="s">
        <v>597</v>
      </c>
      <c r="F11" s="34" t="n">
        <v>0.6</v>
      </c>
    </row>
    <row r="12" customFormat="false" ht="15" hidden="false" customHeight="false" outlineLevel="0" collapsed="false">
      <c r="A12" s="0" t="s">
        <v>598</v>
      </c>
      <c r="B12" s="26" t="n">
        <f aca="false">F12*$B$6</f>
        <v>1176000000</v>
      </c>
      <c r="C12" s="26" t="n">
        <f aca="false">F12*$B$7</f>
        <v>736666666.666667</v>
      </c>
      <c r="D12" s="0" t="str">
        <f aca="false">IF($B$8&gt;=C12,"YES - 5 LPs suffice","No")</f>
        <v>No</v>
      </c>
      <c r="E12" s="24" t="s">
        <v>599</v>
      </c>
      <c r="F12" s="34" t="n">
        <v>0.666666666666667</v>
      </c>
    </row>
    <row r="13" customFormat="false" ht="15" hidden="false" customHeight="false" outlineLevel="0" collapsed="false">
      <c r="A13" s="0" t="s">
        <v>600</v>
      </c>
      <c r="B13" s="26" t="n">
        <f aca="false">F13*$B$6</f>
        <v>1323000000</v>
      </c>
      <c r="C13" s="26" t="n">
        <f aca="false">F13*$B$7</f>
        <v>828750000</v>
      </c>
      <c r="D13" s="0" t="str">
        <f aca="false">IF($B$8&gt;=C13,"YES - 5 LPs suffice","No")</f>
        <v>No</v>
      </c>
      <c r="E13" s="24" t="s">
        <v>601</v>
      </c>
      <c r="F13" s="34" t="n">
        <v>0.75</v>
      </c>
    </row>
    <row r="14" customFormat="false" ht="15" hidden="false" customHeight="false" outlineLevel="0" collapsed="false">
      <c r="A14" s="0" t="s">
        <v>602</v>
      </c>
      <c r="B14" s="26" t="n">
        <f aca="false">F14*$B$6</f>
        <v>1411200000</v>
      </c>
      <c r="C14" s="26" t="n">
        <f aca="false">F14*$B$7</f>
        <v>884000000</v>
      </c>
      <c r="D14" s="0" t="str">
        <f aca="false">IF($B$8&gt;=C14,"YES - 5 LPs suffice","No")</f>
        <v>No</v>
      </c>
      <c r="E14" s="24" t="s">
        <v>603</v>
      </c>
      <c r="F14" s="34" t="n">
        <v>0.8</v>
      </c>
    </row>
    <row r="16" customFormat="false" ht="15" hidden="false" customHeight="false" outlineLevel="0" collapsed="false">
      <c r="A16" s="35" t="s">
        <v>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3" min="2" style="0" width="45"/>
    <col collapsed="false" customWidth="true" hidden="false" outlineLevel="0" max="4" min="4" style="0" width="36"/>
    <col collapsed="false" customWidth="true" hidden="false" outlineLevel="0" max="5" min="5" style="0" width="42"/>
  </cols>
  <sheetData>
    <row r="1" customFormat="false" ht="17.35" hidden="false" customHeight="false" outlineLevel="0" collapsed="false">
      <c r="A1" s="1" t="s">
        <v>605</v>
      </c>
    </row>
    <row r="2" customFormat="false" ht="15" hidden="false" customHeight="false" outlineLevel="0" collapsed="false">
      <c r="A2" s="4" t="s">
        <v>45</v>
      </c>
      <c r="B2" s="4" t="s">
        <v>606</v>
      </c>
      <c r="C2" s="4" t="s">
        <v>607</v>
      </c>
      <c r="D2" s="4" t="s">
        <v>608</v>
      </c>
      <c r="E2" s="4" t="s">
        <v>609</v>
      </c>
    </row>
    <row r="3" customFormat="false" ht="22.35" hidden="false" customHeight="false" outlineLevel="0" collapsed="false">
      <c r="A3" s="36" t="s">
        <v>610</v>
      </c>
      <c r="B3" s="36" t="s">
        <v>611</v>
      </c>
      <c r="C3" s="36" t="s">
        <v>612</v>
      </c>
      <c r="D3" s="36" t="s">
        <v>613</v>
      </c>
      <c r="E3" s="36" t="s">
        <v>614</v>
      </c>
    </row>
    <row r="4" customFormat="false" ht="15" hidden="false" customHeight="false" outlineLevel="0" collapsed="false">
      <c r="A4" s="36" t="s">
        <v>615</v>
      </c>
      <c r="B4" s="36" t="s">
        <v>616</v>
      </c>
      <c r="C4" s="36" t="s">
        <v>616</v>
      </c>
      <c r="D4" s="36" t="s">
        <v>617</v>
      </c>
      <c r="E4" s="36" t="s">
        <v>72</v>
      </c>
    </row>
    <row r="5" customFormat="false" ht="15" hidden="false" customHeight="false" outlineLevel="0" collapsed="false">
      <c r="A5" s="36" t="s">
        <v>618</v>
      </c>
      <c r="B5" s="36" t="s">
        <v>619</v>
      </c>
      <c r="C5" s="36" t="s">
        <v>620</v>
      </c>
      <c r="D5" s="36" t="s">
        <v>621</v>
      </c>
      <c r="E5" s="36" t="s">
        <v>622</v>
      </c>
    </row>
    <row r="6" customFormat="false" ht="15" hidden="false" customHeight="false" outlineLevel="0" collapsed="false">
      <c r="A6" s="36" t="s">
        <v>623</v>
      </c>
      <c r="B6" s="36" t="s">
        <v>624</v>
      </c>
      <c r="C6" s="36" t="s">
        <v>625</v>
      </c>
      <c r="D6" s="36" t="s">
        <v>626</v>
      </c>
      <c r="E6" s="36" t="s">
        <v>627</v>
      </c>
    </row>
    <row r="7" customFormat="false" ht="22.35" hidden="false" customHeight="false" outlineLevel="0" collapsed="false">
      <c r="A7" s="36" t="s">
        <v>628</v>
      </c>
      <c r="B7" s="36" t="s">
        <v>629</v>
      </c>
      <c r="C7" s="36" t="s">
        <v>630</v>
      </c>
      <c r="D7" s="36" t="s">
        <v>631</v>
      </c>
      <c r="E7" s="36" t="s">
        <v>632</v>
      </c>
    </row>
    <row r="8" customFormat="false" ht="22.35" hidden="false" customHeight="false" outlineLevel="0" collapsed="false">
      <c r="A8" s="36" t="s">
        <v>633</v>
      </c>
      <c r="B8" s="36" t="s">
        <v>634</v>
      </c>
      <c r="C8" s="36" t="s">
        <v>635</v>
      </c>
      <c r="D8" s="36" t="s">
        <v>636</v>
      </c>
      <c r="E8" s="36" t="s">
        <v>637</v>
      </c>
    </row>
    <row r="9" customFormat="false" ht="22.35" hidden="false" customHeight="false" outlineLevel="0" collapsed="false">
      <c r="A9" s="36" t="s">
        <v>638</v>
      </c>
      <c r="B9" s="36" t="s">
        <v>639</v>
      </c>
      <c r="C9" s="36" t="s">
        <v>640</v>
      </c>
      <c r="D9" s="36" t="s">
        <v>641</v>
      </c>
      <c r="E9" s="36" t="s">
        <v>642</v>
      </c>
    </row>
    <row r="10" customFormat="false" ht="22.35" hidden="false" customHeight="false" outlineLevel="0" collapsed="false">
      <c r="A10" s="36" t="s">
        <v>643</v>
      </c>
      <c r="B10" s="36" t="s">
        <v>644</v>
      </c>
      <c r="C10" s="36" t="s">
        <v>645</v>
      </c>
      <c r="D10" s="36" t="s">
        <v>646</v>
      </c>
      <c r="E10" s="36" t="s">
        <v>647</v>
      </c>
    </row>
    <row r="11" customFormat="false" ht="15" hidden="false" customHeight="false" outlineLevel="0" collapsed="false">
      <c r="A11" s="36" t="s">
        <v>648</v>
      </c>
      <c r="B11" s="36" t="s">
        <v>649</v>
      </c>
      <c r="C11" s="36" t="s">
        <v>650</v>
      </c>
      <c r="D11" s="36" t="s">
        <v>651</v>
      </c>
      <c r="E11" s="36" t="s">
        <v>652</v>
      </c>
    </row>
    <row r="12" customFormat="false" ht="22.35" hidden="false" customHeight="false" outlineLevel="0" collapsed="false">
      <c r="A12" s="36" t="s">
        <v>257</v>
      </c>
      <c r="B12" s="36" t="s">
        <v>653</v>
      </c>
      <c r="C12" s="36" t="s">
        <v>654</v>
      </c>
      <c r="D12" s="36" t="s">
        <v>655</v>
      </c>
      <c r="E12" s="36" t="s">
        <v>656</v>
      </c>
    </row>
    <row r="13" customFormat="false" ht="15" hidden="false" customHeight="false" outlineLevel="0" collapsed="false">
      <c r="A13" s="36" t="s">
        <v>657</v>
      </c>
      <c r="B13" s="36" t="s">
        <v>658</v>
      </c>
      <c r="C13" s="36" t="s">
        <v>659</v>
      </c>
      <c r="D13" s="36" t="s">
        <v>660</v>
      </c>
      <c r="E13" s="36" t="s">
        <v>661</v>
      </c>
    </row>
    <row r="14" customFormat="false" ht="15" hidden="false" customHeight="false" outlineLevel="0" collapsed="false">
      <c r="A14" s="36" t="s">
        <v>662</v>
      </c>
      <c r="B14" s="36" t="s">
        <v>663</v>
      </c>
      <c r="C14" s="36" t="s">
        <v>664</v>
      </c>
      <c r="D14" s="36" t="s">
        <v>665</v>
      </c>
      <c r="E14" s="36" t="s">
        <v>666</v>
      </c>
    </row>
    <row r="15" customFormat="false" ht="15" hidden="false" customHeight="false" outlineLevel="0" collapsed="false">
      <c r="A15" s="36" t="s">
        <v>667</v>
      </c>
      <c r="B15" s="36" t="s">
        <v>668</v>
      </c>
      <c r="C15" s="36" t="s">
        <v>669</v>
      </c>
      <c r="D15" s="36" t="s">
        <v>670</v>
      </c>
      <c r="E15" s="36" t="s">
        <v>671</v>
      </c>
    </row>
    <row r="16" customFormat="false" ht="15" hidden="false" customHeight="false" outlineLevel="0" collapsed="false">
      <c r="A16" s="36" t="s">
        <v>672</v>
      </c>
      <c r="B16" s="36" t="s">
        <v>668</v>
      </c>
      <c r="C16" s="36" t="s">
        <v>673</v>
      </c>
      <c r="D16" s="36" t="s">
        <v>674</v>
      </c>
      <c r="E16" s="36" t="s">
        <v>675</v>
      </c>
    </row>
    <row r="17" customFormat="false" ht="15" hidden="false" customHeight="false" outlineLevel="0" collapsed="false">
      <c r="A17" s="36" t="s">
        <v>676</v>
      </c>
      <c r="B17" s="36" t="s">
        <v>677</v>
      </c>
      <c r="C17" s="36" t="s">
        <v>649</v>
      </c>
      <c r="D17" s="36" t="s">
        <v>678</v>
      </c>
      <c r="E17" s="36" t="s">
        <v>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70"/>
    <col collapsed="false" customWidth="true" hidden="false" outlineLevel="0" max="5" min="4" style="0" width="40"/>
  </cols>
  <sheetData>
    <row r="1" customFormat="false" ht="17.35" hidden="false" customHeight="false" outlineLevel="0" collapsed="false">
      <c r="A1" s="1" t="s">
        <v>680</v>
      </c>
    </row>
    <row r="2" customFormat="false" ht="15" hidden="false" customHeight="false" outlineLevel="0" collapsed="false">
      <c r="A2" s="4" t="s">
        <v>681</v>
      </c>
      <c r="B2" s="4" t="s">
        <v>682</v>
      </c>
      <c r="C2" s="4" t="s">
        <v>683</v>
      </c>
      <c r="D2" s="4" t="s">
        <v>684</v>
      </c>
      <c r="E2" s="4" t="s">
        <v>685</v>
      </c>
    </row>
    <row r="3" customFormat="false" ht="32.8" hidden="false" customHeight="false" outlineLevel="0" collapsed="false">
      <c r="A3" s="36" t="n">
        <v>1</v>
      </c>
      <c r="B3" s="36" t="s">
        <v>686</v>
      </c>
      <c r="C3" s="36" t="s">
        <v>687</v>
      </c>
      <c r="D3" s="36" t="s">
        <v>688</v>
      </c>
      <c r="E3" s="36" t="s">
        <v>689</v>
      </c>
    </row>
    <row r="4" customFormat="false" ht="22.35" hidden="false" customHeight="false" outlineLevel="0" collapsed="false">
      <c r="A4" s="36" t="n">
        <v>2</v>
      </c>
      <c r="B4" s="36" t="s">
        <v>690</v>
      </c>
      <c r="C4" s="36" t="s">
        <v>691</v>
      </c>
      <c r="D4" s="36" t="s">
        <v>692</v>
      </c>
      <c r="E4" s="36" t="s">
        <v>693</v>
      </c>
    </row>
    <row r="5" customFormat="false" ht="22.35" hidden="false" customHeight="false" outlineLevel="0" collapsed="false">
      <c r="A5" s="36" t="n">
        <v>3</v>
      </c>
      <c r="B5" s="36" t="s">
        <v>694</v>
      </c>
      <c r="C5" s="36" t="s">
        <v>695</v>
      </c>
      <c r="D5" s="36" t="s">
        <v>696</v>
      </c>
      <c r="E5" s="36" t="s">
        <v>697</v>
      </c>
    </row>
    <row r="6" customFormat="false" ht="32.8" hidden="false" customHeight="false" outlineLevel="0" collapsed="false">
      <c r="A6" s="36" t="n">
        <v>4</v>
      </c>
      <c r="B6" s="36" t="s">
        <v>698</v>
      </c>
      <c r="C6" s="36" t="s">
        <v>699</v>
      </c>
      <c r="D6" s="36" t="s">
        <v>700</v>
      </c>
      <c r="E6" s="36" t="s">
        <v>701</v>
      </c>
    </row>
    <row r="7" customFormat="false" ht="22.35" hidden="false" customHeight="false" outlineLevel="0" collapsed="false">
      <c r="A7" s="36" t="n">
        <v>5</v>
      </c>
      <c r="B7" s="36" t="s">
        <v>702</v>
      </c>
      <c r="C7" s="36" t="s">
        <v>703</v>
      </c>
      <c r="D7" s="36" t="s">
        <v>704</v>
      </c>
      <c r="E7" s="36" t="s">
        <v>705</v>
      </c>
    </row>
    <row r="8" customFormat="false" ht="53.7" hidden="false" customHeight="false" outlineLevel="0" collapsed="false">
      <c r="A8" s="36" t="n">
        <v>6</v>
      </c>
      <c r="B8" s="36" t="s">
        <v>706</v>
      </c>
      <c r="C8" s="36" t="s">
        <v>707</v>
      </c>
      <c r="D8" s="36" t="s">
        <v>708</v>
      </c>
      <c r="E8" s="36" t="s">
        <v>709</v>
      </c>
    </row>
    <row r="9" customFormat="false" ht="43.25" hidden="false" customHeight="false" outlineLevel="0" collapsed="false">
      <c r="A9" s="36" t="n">
        <v>7</v>
      </c>
      <c r="B9" s="36" t="s">
        <v>710</v>
      </c>
      <c r="C9" s="36" t="s">
        <v>711</v>
      </c>
      <c r="D9" s="36" t="s">
        <v>712</v>
      </c>
      <c r="E9" s="36" t="s">
        <v>713</v>
      </c>
    </row>
    <row r="10" customFormat="false" ht="15" hidden="false" customHeight="false" outlineLevel="0" collapsed="false">
      <c r="A10" s="36" t="n">
        <v>8</v>
      </c>
      <c r="B10" s="36" t="s">
        <v>714</v>
      </c>
      <c r="C10" s="36" t="s">
        <v>715</v>
      </c>
      <c r="D10" s="36" t="s">
        <v>716</v>
      </c>
      <c r="E10" s="36" t="s">
        <v>717</v>
      </c>
    </row>
    <row r="11" customFormat="false" ht="32.8" hidden="false" customHeight="false" outlineLevel="0" collapsed="false">
      <c r="A11" s="36" t="n">
        <v>9</v>
      </c>
      <c r="B11" s="36" t="s">
        <v>718</v>
      </c>
      <c r="C11" s="36" t="s">
        <v>719</v>
      </c>
      <c r="D11" s="36" t="s">
        <v>720</v>
      </c>
      <c r="E11" s="36" t="s">
        <v>721</v>
      </c>
    </row>
    <row r="12" customFormat="false" ht="32.8" hidden="false" customHeight="false" outlineLevel="0" collapsed="false">
      <c r="A12" s="36" t="n">
        <v>10</v>
      </c>
      <c r="B12" s="36" t="s">
        <v>722</v>
      </c>
      <c r="C12" s="36" t="s">
        <v>723</v>
      </c>
      <c r="D12" s="36" t="s">
        <v>724</v>
      </c>
      <c r="E12" s="36" t="s">
        <v>725</v>
      </c>
    </row>
    <row r="13" customFormat="false" ht="15" hidden="false" customHeight="false" outlineLevel="0" collapsed="false">
      <c r="A13" s="36" t="n">
        <v>11</v>
      </c>
      <c r="B13" s="36" t="s">
        <v>726</v>
      </c>
      <c r="C13" s="36" t="s">
        <v>727</v>
      </c>
      <c r="D13" s="36" t="s">
        <v>728</v>
      </c>
      <c r="E13" s="36" t="s">
        <v>729</v>
      </c>
    </row>
    <row r="14" customFormat="false" ht="22.35" hidden="false" customHeight="false" outlineLevel="0" collapsed="false">
      <c r="A14" s="36" t="n">
        <v>12</v>
      </c>
      <c r="B14" s="36" t="s">
        <v>730</v>
      </c>
      <c r="C14" s="36" t="s">
        <v>731</v>
      </c>
      <c r="D14" s="36" t="s">
        <v>732</v>
      </c>
      <c r="E14" s="36" t="s">
        <v>733</v>
      </c>
    </row>
    <row r="15" customFormat="false" ht="22.35" hidden="false" customHeight="false" outlineLevel="0" collapsed="false">
      <c r="A15" s="36" t="n">
        <v>13</v>
      </c>
      <c r="B15" s="36" t="s">
        <v>734</v>
      </c>
      <c r="C15" s="36" t="s">
        <v>735</v>
      </c>
      <c r="D15" s="36" t="s">
        <v>736</v>
      </c>
      <c r="E15" s="36" t="s">
        <v>737</v>
      </c>
    </row>
    <row r="16" customFormat="false" ht="22.35" hidden="false" customHeight="false" outlineLevel="0" collapsed="false">
      <c r="A16" s="36" t="n">
        <v>14</v>
      </c>
      <c r="B16" s="36" t="s">
        <v>738</v>
      </c>
      <c r="C16" s="36" t="s">
        <v>739</v>
      </c>
      <c r="D16" s="36" t="s">
        <v>740</v>
      </c>
      <c r="E16" s="36" t="s">
        <v>733</v>
      </c>
    </row>
    <row r="17" customFormat="false" ht="22.35" hidden="false" customHeight="false" outlineLevel="0" collapsed="false">
      <c r="A17" s="36" t="n">
        <v>15</v>
      </c>
      <c r="B17" s="36" t="s">
        <v>741</v>
      </c>
      <c r="C17" s="36" t="s">
        <v>742</v>
      </c>
      <c r="D17" s="36" t="s">
        <v>743</v>
      </c>
      <c r="E17" s="36" t="s">
        <v>733</v>
      </c>
    </row>
    <row r="18" customFormat="false" ht="32.8" hidden="false" customHeight="false" outlineLevel="0" collapsed="false">
      <c r="A18" s="36" t="n">
        <v>16</v>
      </c>
      <c r="B18" s="36" t="s">
        <v>744</v>
      </c>
      <c r="C18" s="36" t="s">
        <v>745</v>
      </c>
      <c r="D18" s="36" t="s">
        <v>746</v>
      </c>
      <c r="E18" s="36" t="s">
        <v>747</v>
      </c>
    </row>
    <row r="19" customFormat="false" ht="22.35" hidden="false" customHeight="false" outlineLevel="0" collapsed="false">
      <c r="A19" s="36" t="n">
        <v>17</v>
      </c>
      <c r="B19" s="36" t="s">
        <v>748</v>
      </c>
      <c r="C19" s="36" t="s">
        <v>749</v>
      </c>
      <c r="D19" s="36" t="s">
        <v>750</v>
      </c>
      <c r="E19" s="36" t="s">
        <v>751</v>
      </c>
    </row>
    <row r="20" customFormat="false" ht="22.35" hidden="false" customHeight="false" outlineLevel="0" collapsed="false">
      <c r="A20" s="36" t="n">
        <v>18</v>
      </c>
      <c r="B20" s="36" t="s">
        <v>623</v>
      </c>
      <c r="C20" s="36" t="s">
        <v>752</v>
      </c>
      <c r="D20" s="36" t="s">
        <v>753</v>
      </c>
      <c r="E20" s="36" t="s">
        <v>754</v>
      </c>
    </row>
    <row r="21" customFormat="false" ht="32.8" hidden="false" customHeight="false" outlineLevel="0" collapsed="false">
      <c r="A21" s="36" t="n">
        <v>19</v>
      </c>
      <c r="B21" s="36" t="s">
        <v>755</v>
      </c>
      <c r="C21" s="36" t="s">
        <v>756</v>
      </c>
      <c r="D21" s="36" t="s">
        <v>757</v>
      </c>
      <c r="E21" s="36" t="s">
        <v>758</v>
      </c>
    </row>
    <row r="22" customFormat="false" ht="22.35" hidden="false" customHeight="false" outlineLevel="0" collapsed="false">
      <c r="A22" s="36" t="n">
        <v>20</v>
      </c>
      <c r="B22" s="36" t="s">
        <v>759</v>
      </c>
      <c r="C22" s="36" t="s">
        <v>760</v>
      </c>
      <c r="D22" s="36" t="s">
        <v>761</v>
      </c>
      <c r="E22" s="36" t="s">
        <v>762</v>
      </c>
    </row>
    <row r="23" customFormat="false" ht="32.8" hidden="false" customHeight="false" outlineLevel="0" collapsed="false">
      <c r="A23" s="36" t="n">
        <v>21</v>
      </c>
      <c r="B23" s="36" t="s">
        <v>763</v>
      </c>
      <c r="C23" s="36" t="s">
        <v>764</v>
      </c>
      <c r="D23" s="36" t="s">
        <v>765</v>
      </c>
      <c r="E23" s="36" t="s">
        <v>766</v>
      </c>
    </row>
    <row r="24" customFormat="false" ht="22.35" hidden="false" customHeight="false" outlineLevel="0" collapsed="false">
      <c r="A24" s="36" t="n">
        <v>22</v>
      </c>
      <c r="B24" s="36" t="s">
        <v>767</v>
      </c>
      <c r="C24" s="36" t="s">
        <v>768</v>
      </c>
      <c r="D24" s="36" t="s">
        <v>769</v>
      </c>
      <c r="E24" s="36" t="s">
        <v>770</v>
      </c>
    </row>
    <row r="27" customFormat="false" ht="17.35" hidden="false" customHeight="false" outlineLevel="0" collapsed="false">
      <c r="A27" s="1" t="s">
        <v>771</v>
      </c>
    </row>
    <row r="28" customFormat="false" ht="15" hidden="false" customHeight="false" outlineLevel="0" collapsed="false">
      <c r="A28" s="4" t="s">
        <v>681</v>
      </c>
      <c r="B28" s="4" t="s">
        <v>508</v>
      </c>
      <c r="C28" s="4" t="s">
        <v>685</v>
      </c>
      <c r="D28" s="4" t="s">
        <v>56</v>
      </c>
      <c r="E28" s="4" t="s">
        <v>772</v>
      </c>
    </row>
    <row r="29" customFormat="false" ht="22.35" hidden="false" customHeight="false" outlineLevel="0" collapsed="false">
      <c r="A29" s="36" t="n">
        <v>1</v>
      </c>
      <c r="B29" s="36" t="s">
        <v>773</v>
      </c>
      <c r="C29" s="36" t="s">
        <v>774</v>
      </c>
      <c r="D29" s="36" t="s">
        <v>775</v>
      </c>
      <c r="E29" s="36" t="s">
        <v>776</v>
      </c>
    </row>
    <row r="30" customFormat="false" ht="32.8" hidden="false" customHeight="false" outlineLevel="0" collapsed="false">
      <c r="A30" s="36" t="n">
        <v>2</v>
      </c>
      <c r="B30" s="36" t="s">
        <v>777</v>
      </c>
      <c r="C30" s="36" t="s">
        <v>778</v>
      </c>
      <c r="D30" s="36" t="s">
        <v>121</v>
      </c>
      <c r="E30" s="36" t="s">
        <v>779</v>
      </c>
    </row>
    <row r="31" customFormat="false" ht="22.35" hidden="false" customHeight="false" outlineLevel="0" collapsed="false">
      <c r="A31" s="36" t="n">
        <v>3</v>
      </c>
      <c r="B31" s="36" t="s">
        <v>780</v>
      </c>
      <c r="C31" s="36" t="s">
        <v>781</v>
      </c>
      <c r="D31" s="36" t="s">
        <v>782</v>
      </c>
      <c r="E31" s="36" t="s">
        <v>783</v>
      </c>
    </row>
    <row r="32" customFormat="false" ht="22.35" hidden="false" customHeight="false" outlineLevel="0" collapsed="false">
      <c r="A32" s="36" t="n">
        <v>4</v>
      </c>
      <c r="B32" s="36" t="s">
        <v>784</v>
      </c>
      <c r="C32" s="36" t="s">
        <v>785</v>
      </c>
      <c r="D32" s="36" t="s">
        <v>444</v>
      </c>
      <c r="E32" s="36" t="s">
        <v>786</v>
      </c>
    </row>
    <row r="33" customFormat="false" ht="22.35" hidden="false" customHeight="false" outlineLevel="0" collapsed="false">
      <c r="A33" s="36" t="n">
        <v>5</v>
      </c>
      <c r="B33" s="36" t="s">
        <v>787</v>
      </c>
      <c r="C33" s="36" t="s">
        <v>788</v>
      </c>
      <c r="D33" s="36" t="s">
        <v>789</v>
      </c>
      <c r="E33" s="36" t="s">
        <v>790</v>
      </c>
    </row>
    <row r="34" customFormat="false" ht="22.35" hidden="false" customHeight="false" outlineLevel="0" collapsed="false">
      <c r="A34" s="36" t="n">
        <v>6</v>
      </c>
      <c r="B34" s="36" t="s">
        <v>791</v>
      </c>
      <c r="C34" s="36" t="s">
        <v>792</v>
      </c>
      <c r="D34" s="36" t="s">
        <v>121</v>
      </c>
      <c r="E34" s="36" t="s">
        <v>793</v>
      </c>
    </row>
    <row r="35" customFormat="false" ht="22.35" hidden="false" customHeight="false" outlineLevel="0" collapsed="false">
      <c r="A35" s="36" t="n">
        <v>7</v>
      </c>
      <c r="B35" s="36" t="s">
        <v>794</v>
      </c>
      <c r="C35" s="36" t="s">
        <v>795</v>
      </c>
      <c r="D35" s="36" t="s">
        <v>796</v>
      </c>
      <c r="E35" s="36" t="s">
        <v>797</v>
      </c>
    </row>
    <row r="36" customFormat="false" ht="22.35" hidden="false" customHeight="false" outlineLevel="0" collapsed="false">
      <c r="A36" s="36" t="n">
        <v>8</v>
      </c>
      <c r="B36" s="36" t="s">
        <v>798</v>
      </c>
      <c r="C36" s="36" t="s">
        <v>799</v>
      </c>
      <c r="D36" s="36" t="s">
        <v>782</v>
      </c>
      <c r="E36" s="36" t="s">
        <v>800</v>
      </c>
    </row>
    <row r="37" customFormat="false" ht="22.35" hidden="false" customHeight="false" outlineLevel="0" collapsed="false">
      <c r="A37" s="36" t="n">
        <v>9</v>
      </c>
      <c r="B37" s="36" t="s">
        <v>801</v>
      </c>
      <c r="C37" s="36" t="s">
        <v>802</v>
      </c>
      <c r="D37" s="36" t="s">
        <v>803</v>
      </c>
      <c r="E37" s="36" t="s">
        <v>804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2026-10-15T12:04:33Z</dcterms:created>
  <dc:creator>openpyxl</dc:creator>
  <dc:description/>
  <dc:language>en-US</dc:language>
  <cp:lastModifiedBy/>
  <dcterms:modified xsi:type="dcterms:W3CDTF">2026-10-15T12:04:33Z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