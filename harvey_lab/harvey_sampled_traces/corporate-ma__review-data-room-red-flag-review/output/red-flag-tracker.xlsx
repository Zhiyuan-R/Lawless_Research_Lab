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Red Flag Tracker" sheetId="2" state="visible" r:id="rId4"/>
    <sheet name="EBITDA &amp; Valuation" sheetId="3" state="visible" r:id="rId5"/>
    <sheet name="Exposure Quantification" sheetId="4" state="visible" r:id="rId6"/>
    <sheet name="DOE IDIQ Analysis" sheetId="5" state="visible" r:id="rId7"/>
    <sheet name="Data Inconsistencies" sheetId="6" state="visible" r:id="rId8"/>
    <sheet name="Consents &amp; Notices" sheetId="7" state="visible" r:id="rId9"/>
    <sheet name="Info Requests" sheetId="8" state="visible" r:id="rId10"/>
  </sheets>
  <definedNames>
    <definedName function="false" hidden="true" localSheetId="6" name="_xlnm._FilterDatabase" vbProcedure="false">'Consents &amp; Notices'!$A$1:$F$21</definedName>
    <definedName function="false" hidden="true" localSheetId="5" name="_xlnm._FilterDatabase" vbProcedure="false">'Data Inconsistencies'!$A$1:$F$45</definedName>
    <definedName function="false" hidden="true" localSheetId="7" name="_xlnm._FilterDatabase" vbProcedure="false">'Info Requests'!$A$1:$E$28</definedName>
    <definedName function="false" hidden="true" localSheetId="1" name="_xlnm._FilterDatabase" vbProcedure="false">'Red Flag Tracker'!$A$1:$N$36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<sst xmlns="http://schemas.openxmlformats.org/spreadsheetml/2006/main" count="1154" uniqueCount="875">
  <si>
    <t xml:space="preserve">Project Ridgeline - Diligence Red Flag Tracker</t>
  </si>
  <si>
    <t xml:space="preserve">Proposed acquisition of 100% of the stock of Ridgeline Environmental Services, Inc. (and Pinnacle Waste Solutions, LLC) by Sycamore Capital Partners, LP. Prepared by buyer's counsel from data room materials dated through December 16, 2024. Privileged &amp; Confidential - Attorney Work Product.</t>
  </si>
  <si>
    <t xml:space="preserve">Key Deal Terms (per LOI dated Oct 28, 2024)</t>
  </si>
  <si>
    <t xml:space="preserve">Indicative Enterprise Value - low ($)</t>
  </si>
  <si>
    <t xml:space="preserve">Indicative Enterprise Value - high ($)</t>
  </si>
  <si>
    <t xml:space="preserve">FY2024 Adjusted EBITDA per CIM / LOI ($)</t>
  </si>
  <si>
    <t xml:space="preserve">Implied multiple range</t>
  </si>
  <si>
    <t xml:space="preserve">8.0x - 9.0x</t>
  </si>
  <si>
    <t xml:space="preserve">Holdback / escrow (10% of EV) - low ($)</t>
  </si>
  <si>
    <t xml:space="preserve">Holdback / escrow (10% of EV) - high ($)</t>
  </si>
  <si>
    <t xml:space="preserve">Funded debt to be repaid (HPNB) ($)</t>
  </si>
  <si>
    <t xml:space="preserve">Target signing / closing</t>
  </si>
  <si>
    <t xml:space="preserve">Feb 14, 2025 / Apr 30, 2025</t>
  </si>
  <si>
    <t xml:space="preserve">Exclusivity expires</t>
  </si>
  <si>
    <t xml:space="preserve">Feb 28, 2025</t>
  </si>
  <si>
    <t xml:space="preserve">Red Flags by Severity</t>
  </si>
  <si>
    <t xml:space="preserve">Severity</t>
  </si>
  <si>
    <t xml:space="preserve">Count</t>
  </si>
  <si>
    <t xml:space="preserve">Definition</t>
  </si>
  <si>
    <t xml:space="preserve">Critical</t>
  </si>
  <si>
    <t xml:space="preserve">Potential deal-breaker or material price item; must be resolved before signing</t>
  </si>
  <si>
    <t xml:space="preserve">High</t>
  </si>
  <si>
    <t xml:space="preserve">Material exposure requiring specific SPA protection, closing condition or price adjustment</t>
  </si>
  <si>
    <t xml:space="preserve">Medium</t>
  </si>
  <si>
    <t xml:space="preserve">Requires diligence follow-up and customary/specific contractual protection</t>
  </si>
  <si>
    <t xml:space="preserve">Low</t>
  </si>
  <si>
    <t xml:space="preserve">Process / housekeeping item</t>
  </si>
  <si>
    <t xml:space="preserve">Total</t>
  </si>
  <si>
    <t xml:space="preserve">Valuation Sensitivity (see 'EBITDA &amp; Valuation')</t>
  </si>
  <si>
    <t xml:space="preserve">Scenario</t>
  </si>
  <si>
    <t xml:space="preserve">EBITDA ($000)</t>
  </si>
  <si>
    <t xml:space="preserve">EV @ 8.0x ($000)</t>
  </si>
  <si>
    <t xml:space="preserve">EV @ 9.0x ($000)</t>
  </si>
  <si>
    <t xml:space="preserve">vs. LOI low ($000)</t>
  </si>
  <si>
    <t xml:space="preserve">vs. LOI high ($000)</t>
  </si>
  <si>
    <t xml:space="preserve">Quantified Exposure Summary (see 'Exposure Quantification')</t>
  </si>
  <si>
    <t xml:space="preserve">Measure</t>
  </si>
  <si>
    <t xml:space="preserve">Low ($)</t>
  </si>
  <si>
    <t xml:space="preserve">High ($)</t>
  </si>
  <si>
    <t xml:space="preserve">Quantified contingent / debt-like exposures (excl. HPNB payoff, accrued PTO, DOE revenue headwind and unquantified items)</t>
  </si>
  <si>
    <t xml:space="preserve">As % of 10% holdback (low EV / high EV)</t>
  </si>
  <si>
    <t xml:space="preserve">Legend: blue = hard-coded input from data room; black = formula; green = cross-sheet link.</t>
  </si>
  <si>
    <t xml:space="preserve">ID</t>
  </si>
  <si>
    <t xml:space="preserve">Category</t>
  </si>
  <si>
    <t xml:space="preserve">Issue</t>
  </si>
  <si>
    <t xml:space="preserve">Key Findings</t>
  </si>
  <si>
    <t xml:space="preserve">Source Documents / Cites</t>
  </si>
  <si>
    <t xml:space="preserve">Potential Exposure</t>
  </si>
  <si>
    <t xml:space="preserve">Est. Exposure Low ($)</t>
  </si>
  <si>
    <t xml:space="preserve">Est. Exposure High ($)</t>
  </si>
  <si>
    <t xml:space="preserve">Deal Impact</t>
  </si>
  <si>
    <t xml:space="preserve">Recommended Action / SPA Protection</t>
  </si>
  <si>
    <t xml:space="preserve">Follow-up Information Requests</t>
  </si>
  <si>
    <t xml:space="preserve">Owner</t>
  </si>
  <si>
    <t xml:space="preserve">Status</t>
  </si>
  <si>
    <t xml:space="preserve">ENV-01</t>
  </si>
  <si>
    <t xml:space="preserve">Environmental</t>
  </si>
  <si>
    <t xml:space="preserve">Grand Junction HQ: uninsured chlorinated-solvent (DNAPL) and petroleum contamination, uninvestigated since 2019</t>
  </si>
  <si>
    <t xml:space="preserve">The June 2019 Phase II ESA found PCE/TCE (DNAPL) and petroleum/BTEX contamination in soil and groundwater above Colorado standards. It also found soil-gas exceedances indicating a potential vapor-intrusion pathway into a maintenance building occupied daily by RES employees ('a matter warranting prompt attention'). There are no off-site sentinel wells, so plume containment is 'preliminary,' and groundwater flows northwest toward the Colorado River. The 2006 UST closure file remains open with no NFA letter. None of the recommended follow-up (off-site wells, vapor intrusion assessment, VCUP entry, update before any transaction or financing) has been done in more than five years. The $1.83M-$2.67M estimate is in 2019 dollars and excludes vapor-intrusion mitigation, off-site remediation, third-party claims and NRD. Only $2.2M of the $3.2M accrual relates to Grand Junction. As current owner, RES is liable under CERCLA regardless of fault. Because this is an RCRA-permitted facility, the December 31, 2026 permit renewal could bring facility-wide corrective action. The PLL policy excludes gradual contamination at owned sites. The Permit Schedule mis-describes the contamination location and migration direction relative to the Phase II.</t>
  </si>
  <si>
    <t xml:space="preserve">ESA ss.2-8; EPS s.2.1, s.5; LIT s.VI.A; RPL s.2.1; INS s.4; CAS s.3, s.10</t>
  </si>
  <si>
    <t xml:space="preserve">2019 estimate $1.83M-$2.67M; illustrative ~30% cost escalation gives up to ~$3.5M before vapor intrusion, off-site and DNAPL contingencies. Accrual covers $2.2M. Lender EoD if a remediation order exceeds $1M.</t>
  </si>
  <si>
    <t xml:space="preserve">Special indemnity; dedicated escrow; price; pre-signing investigation</t>
  </si>
  <si>
    <t xml:space="preserve">Commission an updated Phase I/II with off-site downgradient wells and a vapor-intrusion assessment (sub-slab and indoor air) before signing. Address worker exposure immediately. SPA: uncapped or separately capped specific environmental indemnity for pre-closing conditions at Grand Junction, surviving at least 6 years, backed by a dedicated environmental escrow sized to the updated estimate. Evaluate VCUP entry and Colorado Petroleum Storage Tank Fund eligibility for the UST release. Bind a site pollution policy covering known conditions if the market permits.</t>
  </si>
  <si>
    <t xml:space="preserve">Full 180-page Phase II and the 2018 Phase I; all groundwater monitoring data since 2019; UST closure file; CDPHE correspondence; accrual workpapers.</t>
  </si>
  <si>
    <t xml:space="preserve">Environmental counsel / consultant</t>
  </si>
  <si>
    <t xml:space="preserve">Open</t>
  </si>
  <si>
    <t xml:space="preserve">FIN-01</t>
  </si>
  <si>
    <t xml:space="preserve">Financial / Quality of Earnings</t>
  </si>
  <si>
    <t xml:space="preserve">Adjusted EBITDA underpinning the LOI valuation is unreconciled and internally inconsistent</t>
  </si>
  <si>
    <t xml:space="preserve">The LOI prices the deal at 8.0x-9.0x FY2024 Adjusted EBITDA of $22.8M (EV $182M-$205M). The CIM bridges $18.4M reported EBITDA to $22.8M with ~$4.4M of add-backs; the QoE EBITDA Bridge shows $5.4M of add-backs and $23.8M Adjusted EBITDA, and management states that the $1.0M difference has not been identified. Separately, the QoE Historical P&amp;L shows FY2024 EBIT of $18,400K and a 'Reported EBITDA' line of $26,036K (EBIT plus $7,636K D&amp;A), while pre-tax income is derived directly from EBIT without any D&amp;A deduction. The $18.4M figure management calls 'reported EBITDA' therefore appears to be EBIT, or the P&amp;L omits D&amp;A; either way the starting point of the bridge cannot be tied to the financial statements.</t>
  </si>
  <si>
    <t xml:space="preserve">LOI s.3.1; CIM s.II, s.VI.A-B; QoE 'Historical P&amp;L' and 'EBITDA Bridge' tabs (reconciliation note); CAS s.4</t>
  </si>
  <si>
    <t xml:space="preserve">Valuation: each $1.0M of EBITDA = $8.0M-$9.0M of EV at the LOI multiple range.</t>
  </si>
  <si>
    <t xml:space="preserve">Price; QoE scope; signing condition</t>
  </si>
  <si>
    <t xml:space="preserve">Do not finalize price until Bridgewater Forsyth completes a full QoE tied to audited trial balances, including proof of revenue and proof of cash. Require management to deliver a single reconciled FY2022-FY2024 EBITDA bridge to the GL. Re-base price on diligence-adjusted EBITDA (see FIN-02/FIN-03). SPA: financial statements rep (GAAP, no undisclosed liabilities) as a fundamental-style rep with extended survival; specific indemnity for EBITDA-bridge misstatement is not customary, so price protection is the primary remedy.</t>
  </si>
  <si>
    <t xml:space="preserve">Trial balances and GL detail FY2022-FY2024; management EBITDA bridge reconciled to audited/reviewed statements; D&amp;A schedule; explanation of the $1.0M CIM vs. QoE difference.</t>
  </si>
  <si>
    <t xml:space="preserve">BFG (QoE) / Deal team</t>
  </si>
  <si>
    <t xml:space="preserve">FIN-02</t>
  </si>
  <si>
    <t xml:space="preserve">$1.2M 'one-time litigation settlement' add-back is described three different ways and may be a gain, not a cost</t>
  </si>
  <si>
    <t xml:space="preserve">(i) The CIM says RES 'incurred costs' for a litigation settlement 'resolved during the period.' (ii) The QoE bridge and P&amp;L describe a $1.2M cash payment by RES to settle the Harper Environmental matter (Mesa County Case No. 2023-CV-1847) in July 2024 for breach of an exclusivity clause. (iii) Seller's counsel's Litigation Summary states that Harper is still pending (discovery; mediation set for February 2025; RES is the plaintiff seeking $2.1M) and that the $1.2M relates to the Clearwater Logistics matter, in which Clearwater PAID RES a net $1.2M (received April 2024). If the Litigation Summary is correct, the add-back runs the wrong way: a non-recurring gain should be deducted, not added back.</t>
  </si>
  <si>
    <t xml:space="preserve">CIM s.VI.B; QoE 'Historical P&amp;L' (Litigation Settlement (Harper) line) and 'EBITDA Bridge'; LIT s.II.A, s.III.A, s.IV.A</t>
  </si>
  <si>
    <t xml:space="preserve">EBITDA overstatement of $1.2M (add-back removed) to $2.4M (add-back removed and gain eliminated); EV impact ~$9.6M-$21.6M at 8.0x-9.0x.</t>
  </si>
  <si>
    <t xml:space="preserve">Price; credibility of management financial reporting</t>
  </si>
  <si>
    <t xml:space="preserve">Obtain the Clearwater settlement agreement, Harper docket and the GL entries for the $1.2M. Remove the add-back in all valuation cases; if the Clearwater receipt sits in reported EBITDA, deduct it. Escalate as a management credibility issue with Greylock Merritt.</t>
  </si>
  <si>
    <t xml:space="preserve">Clearwater settlement agreement and cash receipt; Harper pleadings/docket; GL coding of the $1.2M; FY2024 'other income' detail.</t>
  </si>
  <si>
    <t xml:space="preserve">FIN-04</t>
  </si>
  <si>
    <t xml:space="preserve">Earnings are declining, a trend omitted from the CIM</t>
  </si>
  <si>
    <t xml:space="preserve">The QoE shows Management Adjusted EBITDA of $28.1M in FY2023 versus $23.8M in FY2024 (down ~15%), with adjusted margin falling from 24.5% to 18.7%; 'reported' EBITDA fell 27% and net income fell 1.1% despite 11.1% revenue growth. Revenue growth has slowed each year (20.1%, 19.0%, 17.2%, 11.1%). The CIM shows no EBITDA for FY2020-FY2023 (dashes) and describes 'consistent, strong financial performance.' Combined with the DOE ceiling problem (REV-01), FY2025 run-rate EBITDA may be materially below FY2024.</t>
  </si>
  <si>
    <t xml:space="preserve">QoE 'Historical P&amp;L' memo lines and 'EBITDA Bridge' (FY2022-FY2024); CIM s.VI.A</t>
  </si>
  <si>
    <t xml:space="preserve">Valuation and MAC/forecast risk; buyer is paying a growth multiple for a business whose earnings are contracting.</t>
  </si>
  <si>
    <t xml:space="preserve">Price; structure (consider earn-out or seller note); financing</t>
  </si>
  <si>
    <t xml:space="preserve">Require monthly FY2024 and FY2025 YTD results and a management forecast with a DOE bridge. Consider pricing on a FY2025 run-rate basis or bridging the valuation gap with an earn-out or deferred consideration.</t>
  </si>
  <si>
    <t xml:space="preserve">Monthly P&amp;L FY2023 to date; FY2025 budget (also a lender deliverable); backlog report by customer.</t>
  </si>
  <si>
    <t xml:space="preserve">FIN-05</t>
  </si>
  <si>
    <t xml:space="preserve">Audit status is contradictory, which bears on the LOI closing condition and the credit agreement</t>
  </si>
  <si>
    <t xml:space="preserve">The CIM says the financial statements 'have not been audited' and are only reviewed by Hansen &amp; Whitfield, CPAs. The QoE cover says FY2020-FY2023 were audited by Plante Moran PLLC and FY2024 is reviewed (unaudited). The Litigation Summary refers to a footnote 'in the FY2024 audited financial statements.' The credit agreement requires audited annual statements with an unqualified opinion within 120 days of each September 30 year-end, and LOI s.8(i) makes audited FY2022-FY2024 statements a closing condition. Plante Moran is also listed as Pinnacle acquisition accountant, which raises an auditor-independence question.</t>
  </si>
  <si>
    <t xml:space="preserve">CIM s.I, s.VI.A; QoE 'Cover &amp; Instructions', 'EBITDA Bridge' (Pinnacle line); LIT s.II.B; CAS s.6, s.12; LOI s.8(i)</t>
  </si>
  <si>
    <t xml:space="preserve">If audits were not performed: existing credit agreement reporting default and misrepresentation risk; closing timeline at risk (a first-time FY2022-FY2024 audit is unlikely to be completed by the February 14, 2025 target signing).</t>
  </si>
  <si>
    <t xml:space="preserve">Closing condition; timeline; reliance</t>
  </si>
  <si>
    <t xml:space="preserve">Obtain audit reports, engagement letters and management letters for every year. If FY2024 is unaudited, require an audit before signing or as a signing deliverable. Confirm what was delivered to HPNB under the reporting covenants.</t>
  </si>
  <si>
    <t xml:space="preserve">Audit opinions FY2020-FY2024; auditor engagement letters and management letters; compliance certificates and annual deliveries to HPNB.</t>
  </si>
  <si>
    <t xml:space="preserve">REV-01</t>
  </si>
  <si>
    <t xml:space="preserve">Revenue / Customers / Government Contracts</t>
  </si>
  <si>
    <t xml:space="preserve">DOE IDIQ (19.2% of revenue): ceiling nearly exhausted and reported DOE revenue cannot be reconciled to the task orders</t>
  </si>
  <si>
    <t xml:space="preserve">Contract DE-EM-0005523 has a $45.0M ceiling and runs to August 31, 2026 with no option periods. Task-order data show $38.2M of TO ceilings issued, $31.7M of revenue recognized and $6.5M of TO backlog. Completed TOs were billed at full ceiling, so the claim that only $32.7M is 'obligated' (leaving $12.3M of ceiling) is inconsistent with the TO data; remaining ceiling may be as little as ~$6.8M. Even on management's figures the ceiling runs out around April-May 2025, at least 16 months before contract expiry (FY2025 revenue headwind of at least $12.1M, or 9.5% of revenue). Separately, DOE revenue reported for FY2021-FY2024 totals $63.9M (Customer Contract Summary) or $62.7M (QoE). That is roughly twice the $31.7M recognized under the IDIQ and exceeds the entire $45M ceiling, which means either undisclosed DOE contracts exist or DOE revenue is overstated. Clause H-12 requires written notice to the Contracting Officer within 30 days of a change in ownership; failure 'may be grounds for termination for default.' The Government can also terminate for convenience (FAR 52.249-2), and the most recent CPARS rating has slipped to 'Satisfactory' (TO -0008).</t>
  </si>
  <si>
    <t xml:space="preserve">CCS 'Top 20 Customers' row 1, 'Historical Revenue by Customer', 'DOE IDIQ Utilization Analysis'; QoE 'Revenue by Customer'; CIM s.III, s.VI.D, s.VIII.A; LOI s.7.1(e)</t>
  </si>
  <si>
    <t xml:space="preserve">FY2025 revenue headwind of at least $12.1M; at the ~37% remediation contribution margin, roughly $4.5M of EBITDA (~$36M-$40M EV). The revenue-integrity issue could be larger.</t>
  </si>
  <si>
    <t xml:space="preserve">Price; walk-right; special condition</t>
  </si>
  <si>
    <t xml:space="preserve">Before signing: obtain the IDIQ contract, all modifications and TOs, funding/obligation records, invoices and DOE payment data (e.g., IPP/USAspending), and reconcile DOE revenue to them. Determine whether a ceiling increase or a follow-on vehicle is realistic and on what timetable. Confirm small-business size status and any recertification triggered by the acquisition (FAR 52.219-28), if the award was set aside. Closing deliverable: H-12 notice plan; consider a CO acknowledgment. Price on DOE-adjusted run-rate or use an earn-out tied to a ceiling increase or follow-on award.</t>
  </si>
  <si>
    <t xml:space="preserve">DE-EM-0005523 basic contract, all mods, all TOs and funding docs; CPARS reports; DOE invoices and receipts FY2021-FY2024; list of all other federal contracts; SAM/size representations.</t>
  </si>
  <si>
    <t xml:space="preserve">Deal team / Gov't contracts counsel</t>
  </si>
  <si>
    <t xml:space="preserve">REV-02</t>
  </si>
  <si>
    <t xml:space="preserve">Two irreconcilable customer rosters both total $127.3M</t>
  </si>
  <si>
    <t xml:space="preserve">Other than DOE and CMMC, the top-20 customer list in the Customer Contract Summary (e.g., Western Slope Municipal Water District, High Plains Energy Partners, Intermountain Health Systems, Wasatch Front Petroleum, Silver Creek Mining) does not match the QoE 'Revenue by Customer' tab (e.g., Western Slope Energy Partners, Rio Tinto Kennecott, Suncor, Freeport-McMoRan, Marathon, Newmont, Chevron). Yet both total $127.3M and both show top-10 concentration of exactly 67.0%. The CIM's Customers C/D/E ($10.2M/$7.6M/$6.4M) match neither. In the Customer Contract Summary, a $0.2M customer is ranked #10 ahead of a $4.1M customer (the true top-10 share is $89.2M, or 70.1%). 'All other' revenue is $13.8M (~85 customers), $19.1M (~120 accounts) or $42.0M (33%), depending on the document.</t>
  </si>
  <si>
    <t xml:space="preserve">CCS 'Top 20 Customers', 'Customer Concentration Summary'; QoE 'Revenue by Customer'; CIM s.VI.D</t>
  </si>
  <si>
    <t xml:space="preserve">Fundamental revenue-existence/attribution risk; possible misrepresentation. Not quantifiable until revenue is proven.</t>
  </si>
  <si>
    <t xml:space="preserve">Walk-right / signing condition; fraud carve-out</t>
  </si>
  <si>
    <t xml:space="preserve">Require customer-level revenue from the GL, tied to invoices, cash receipts and AR aging, with third-party confirmations for the top 20 under both lists. Consider forensic accounting procedures. SPA: fraud carve-out, no anti-sandbagging limitation, and a customer-list representation.</t>
  </si>
  <si>
    <t xml:space="preserve">Customer master file; revenue by customer from GL FY2022-FY2024; AR aging; cash receipts; executed contracts for both rosters.</t>
  </si>
  <si>
    <t xml:space="preserve">DEBT-02</t>
  </si>
  <si>
    <t xml:space="preserve">Debt / Financing</t>
  </si>
  <si>
    <t xml:space="preserve">Possible existing credit agreement defaults and documentation anomalies</t>
  </si>
  <si>
    <t xml:space="preserve">(i) The annual audit covenant may not have been met (FIN-05). (ii) Prompt notice (within 5 business days) of material regulatory actions, NLRB actions and material litigation is required; it is unconfirmed whether HPNB was notified of the CDPHE NOV, the NLRB petition and Ramirez. (iii) The credit agreement is dated January 17, 2023 in the CFO's summary but September 14, 2021 in the Org Chart, and the Pinnacle joinder (March 15, 2022) 'was executed prior to the Credit Agreement's Closing Date.' (iv) The Borrower's principal office is stated as Denver. (v) The restricted-payments covenant permits 'tax distributions' to shareholders of a C-corporation, so it should be confirmed whether any distributions were made. (vi) The CIM states leverage of 1.70x 'well within covenant levels,' but the covenant calculation is 2.10x on bank EBITDA.</t>
  </si>
  <si>
    <t xml:space="preserve">CAS ss.1, 4-7, 10-12, 14; ORG s.3.6; CIM s.XII.B; EBS s.7 n.1</t>
  </si>
  <si>
    <t xml:space="preserve">Default interest (+2.00%) and acceleration risk before closing; reliability of CFO-prepared summaries.</t>
  </si>
  <si>
    <t xml:space="preserve">Interim period risk; reps</t>
  </si>
  <si>
    <t xml:space="preserve">Review the full credit agreement, all compliance certificates and notices. Obtain lender confirmation of no default (or a waiver) as a signing deliverable if closing will be delayed. Confirm the distribution history and add a leakage covenant.</t>
  </si>
  <si>
    <t xml:space="preserve">All compliance certificates and borrowing base certificates since origination; notices delivered to HPNB; any prior credit agreement (2021); distribution/dividend history.</t>
  </si>
  <si>
    <t xml:space="preserve">Finance counsel</t>
  </si>
  <si>
    <t xml:space="preserve">EMP-01</t>
  </si>
  <si>
    <t xml:space="preserve">Employment / Benefits / Labor</t>
  </si>
  <si>
    <t xml:space="preserve">Change-of-control severance of $3.775M (with single-trigger founder payments) is not clearly a Transaction Expense</t>
  </si>
  <si>
    <t xml:space="preserve">The Calloways' CoC payments ($1,312,500 each; $2,625,000 total) are single-trigger and payable within 30 days of closing even if they continue employment. The Employment Summary describes the formula as '18 months' base salary plus bonus target' but calculates base only; if target bonus is included, each payment could reach ~$1.75M-$1.97M. The QoE says bonus was excluded by a March 2022 amendment that the Employment Summary does not mention. The other three executives are double-trigger ($1.15M) per the Employment Summary, but the QoE tabulation suggests all five are triggered by the change of control. Bonus targets (50/40/35% vs. 25/20%) and agreement dates also conflict. The LOI's Transaction Expenses definition covers employer payroll taxes but not the severance itself. Section 280G analysis is needed; RES is a privately held C-corporation, so the shareholder-approval or small-business-corporation exemptions should be evaluated.</t>
  </si>
  <si>
    <t xml:space="preserve">EAS ss.2-8, 11; QoE 'Executive Compensation'; LOI s.4.1(c); EBS s.5</t>
  </si>
  <si>
    <t xml:space="preserve">$2.625M certain to ~$3.94M (if bonus included) for the founders, plus up to $1.15M double-trigger and employer payroll taxes.</t>
  </si>
  <si>
    <t xml:space="preserve">Price (Transaction Expenses); employment terms</t>
  </si>
  <si>
    <t xml:space="preserve">SPA: define Transaction Expenses to include all CoC, retention and transaction bonuses (single and double trigger where triggered at or before closing) and the employer share of payroll taxes; or obtain founder waivers or rollover into new agreements. Obtain executed agreements and the March 2022 amendments. Complete a 280G analysis.</t>
  </si>
  <si>
    <t xml:space="preserve">Executed employment agreements and all amendments (incl. March 2022); bonus plans; 5-year W-2 history for 280G.</t>
  </si>
  <si>
    <t xml:space="preserve">Employment &amp; benefits counsel</t>
  </si>
  <si>
    <t xml:space="preserve">EMP-02</t>
  </si>
  <si>
    <t xml:space="preserve">Union organizing (NLRB petition) disclosed only in a footnote, contrary to the CIM</t>
  </si>
  <si>
    <t xml:space="preserve">A Teamsters Local 455 election petition covering 62 field technicians at Grand Junction and Casper was filed November 4, 2024, a week after the LOI. It appears only in a footnote to the Benefits Summary. The CIM states the workforce is 'entirely non-unionized' with turnover 'below industry averages,' but voluntary turnover is ~19% and satisfaction is 72%. Implications include an election and bargaining obligation, unfair labor practice risk from post-closing changes, constraints on integration and compensation changes, and credit agreement notice obligations.</t>
  </si>
  <si>
    <t xml:space="preserve">EBS s.3, s.7 n.1; CIM s.III, s.VII.A; EAS s.10; CAS s.6, s.10</t>
  </si>
  <si>
    <t xml:space="preserve">Labor cost increases; operational disruption (a work stoppage over 10 business days is a lender EoD).</t>
  </si>
  <si>
    <t xml:space="preserve">Reps; interim covenants; post-closing planning</t>
  </si>
  <si>
    <t xml:space="preserve">Obtain the petition, the NLRB docket and election status. Engage labor counsel on campaign conduct (avoid ULP exposure). Add a labor rep and an interim covenant requiring notice and consultation. Factor into the integration plan.</t>
  </si>
  <si>
    <t xml:space="preserve">NLRB petition and filings; any ULP charges; handbook; wage scales for petitioned unit.</t>
  </si>
  <si>
    <t xml:space="preserve">EMP-03</t>
  </si>
  <si>
    <t xml:space="preserve">HAZWOPER training gap and OSHA record inconsistencies</t>
  </si>
  <si>
    <t xml:space="preserve">Only ~148 employees hold 40-hour HAZWOPER certification, against 278 field technicians, 74 CDL drivers and 42 project managers/supervisors. The CIM represents that all ~310 field personnel are certified. 29 C.F.R. s.1910.120 requires 40-hour initial and 8-hour annual refresher training for covered hazardous waste site workers, and DOE work typically requires it contractually. The Ramirez complaint alleges PPE and air-monitoring failures. OSHA issued two recordkeeping citations in March 2024 for failing to record three injuries, which undermines the TRIR comparison, yet the Benefits Summary states there have been no OSHA citations in three years.</t>
  </si>
  <si>
    <t xml:space="preserve">EBS ss.3, 6; CIM s.III, s.VII.A, s.IX.B; LIT s.II.B, s.III.B</t>
  </si>
  <si>
    <t xml:space="preserve">OSHA penalties (2024 maxima of roughly $16K per serious and $161K per willful/repeat violation); DOE contract compliance; tort exposure.</t>
  </si>
  <si>
    <t xml:space="preserve">Reps; pre-closing remediation covenant; special indemnity</t>
  </si>
  <si>
    <t xml:space="preserve">Obtain training records by employee and role. Pre-closing covenant to cure training deficiencies; compliance rep; specific indemnity for pre-closing OSHA violations. Independent EHS audit.</t>
  </si>
  <si>
    <t xml:space="preserve">HAZWOPER and refresher training matrix by employee; OSHA 300/300A logs 2021-2024; March 2024 citations; site-specific HASPs (Sheridan).</t>
  </si>
  <si>
    <t xml:space="preserve">ENV-02</t>
  </si>
  <si>
    <t xml:space="preserve">CDPHE RCRA enforcement (Docket CDPHE-HW-2024-0093): exposure and facts are mischaracterized</t>
  </si>
  <si>
    <t xml:space="preserve">The NOV (July 18, 2024) alleges ~14,000 gallons of F001/F002 listed spent solvents were stored in an unpermitted staging area beyond the 90-day period. The CIM calls it a self-reported 'storage duration exceedance' that is 'within the scope of normal operations,' and the Permit Schedule describes a satellite-accumulation exceedance of the 55-gallon limit. The parties dispute 12 versus 31 days ($450K versus $1,162,500 at the $37,500/day figure management uses, which is an outdated per-day maximum). Management's settlement estimate is $200K-$450K, and nothing is accrued. Seller's counsel cites 'no prior RCRA violations,' while the Permit Schedule notes a 2016 violation. The compliance record will matter for the 2026 Part B renewal. Post-signing, LOI s.9(e) requires Buyer consent for settlements over $100K.</t>
  </si>
  <si>
    <t xml:space="preserve">LIT s.III.A; EPS s.2.1, s.6; CIM s.IX.A; LOI s.5.5, s.9(e); CAS s.6, s.12</t>
  </si>
  <si>
    <t xml:space="preserve">$200K (management low) to $1.16M+ (CDPHE position), plus possible injunctive/compliance-order costs.</t>
  </si>
  <si>
    <t xml:space="preserve">Special indemnity; Net Debt/accrual</t>
  </si>
  <si>
    <t xml:space="preserve">Obtain the NOV, the September 5, 2024 response and the inspection report. Treat the CDPHE penalty as a specific indemnity (or an indebtedness item at the CDPHE number) outside the basket and cap. Require Buyer approval rights over settlement and over any compliance order.</t>
  </si>
  <si>
    <t xml:space="preserve">NOV; inspection report; RES response and exhibits; any CDPHE settlement communications; corrective-action documentation.</t>
  </si>
  <si>
    <t xml:space="preserve">ENV-03</t>
  </si>
  <si>
    <t xml:space="preserve">Wyoming (Casper) hazardous waste permit expired November 30, 2024; 'timely renewal' status is unverified</t>
  </si>
  <si>
    <t xml:space="preserve">Permit WY-HW-2019-033 expired November 30, 2024, and the renewal application was filed October 15, 2024, only 46 days before expiration. Under the federal RCRA permitting framework generally adopted by authorized states, a renewal application is due at least 180 days before expiration (40 C.F.R. s.270.10(h)), and continuation of an expired permit depends on a timely and complete application (s.270.51). Unless Wyoming rules or a DEQ extension provide otherwise, Casper (68 FTEs; Wyoming revenue $30.2M, or 23.7% of the total) may be operating without valid authorization. Non-renewal of a material permit is also a credit agreement Event of Default. The CIM describes the filing as timely without qualification.</t>
  </si>
  <si>
    <t xml:space="preserve">EPS s.2.4; CIM s.III, s.V.C; RPL s.4.3; CCS 'Customer Concentration Summary' (geography); CAS s.10</t>
  </si>
  <si>
    <t xml:space="preserve">Interruption or penalties at a facility serving ~$30M of revenue; permit-renewal conditions.</t>
  </si>
  <si>
    <t xml:space="preserve">Closing condition; special indemnity</t>
  </si>
  <si>
    <t xml:space="preserve">Obtain the renewal application, DEQ completeness determination and any written confirmation of continued authorization. Engage Wyoming environmental counsel. Closing condition: renewed permit issued, or written DEQ confirmation that the facility is authorized to operate pending renewal.</t>
  </si>
  <si>
    <t xml:space="preserve">Renewal application (Oct 15, 2024); DEQ correspondence; prior permit conditions; 2022 inspection report.</t>
  </si>
  <si>
    <t xml:space="preserve">ENV-04</t>
  </si>
  <si>
    <t xml:space="preserve">Salt Lake City transfer station permit (UTH-0441) still held by dormant Pinnacle; transfer pending since 2022</t>
  </si>
  <si>
    <t xml:space="preserve">The SLC permit remains in the name of Pinnacle Waste Solutions, LLC, which has been dormant since Q3 2022. RES personnel have operated the facility since March 2022, and Pinnacle's EPA transporter ID was deactivated. The transfer application has been pending for about 2.75 years, while the Ogden permit was transferred in June 2022. The Permit Schedule acknowledges that Utah rules require Division approval of changes in ownership or operational control before they take effect. Management nonetheless asserts compliance. Customers served from SLC account for ~$16.2M of revenue per the schedule (the component figures listed sum to ~$21.6M).</t>
  </si>
  <si>
    <t xml:space="preserve">EPS s.2.2, s.3, s.6; LIT s.III.C; ORG s.2, s.4.3; RPL s.4.1; CCS 'Customer Concentration Summary'</t>
  </si>
  <si>
    <t xml:space="preserve">Enforcement for operating without a permit in the operator's name; potential suspension affecting ~$16M-$22M of revenue.</t>
  </si>
  <si>
    <t xml:space="preserve">Obtain the transfer application file and Division correspondence. Determine whether to complete the transfer to RES or to re-activate Pinnacle as the operating entity (which also bears on the lease; see RE-01). Closing condition: Division approval of the transfer or modification, or written confirmation of status. Specific indemnity for pre-closing non-compliance.</t>
  </si>
  <si>
    <t xml:space="preserve">UTH-0441 permit, transfer application and all Division correspondence; Part A updates; financial assurance instruments for SLC and Ogden.</t>
  </si>
  <si>
    <t xml:space="preserve">ENV-05</t>
  </si>
  <si>
    <t xml:space="preserve">Asbestos abatement legacy (2012-2023): long-tail exposure is largely uninsured, and open claims were not disclosed</t>
  </si>
  <si>
    <t xml:space="preserve">RES performed asbestos abatement at ~145 sites (CO/UT/WY per the Litigation Summary; CO/UT/WY/MT per the QoE), generating ~$31.2M of cumulative revenue. The CGL has a blanket asbestos exclusion and no tail; the PLL has a January 1, 2015 retro date and does not mention asbestos. Seller's counsel nonetheless states that RES 'maintained asbestos-specific liability insurance' and that the PLL covers completed operations. The QoE discloses two OPEN workers' compensation claims by former abatement workers alleging respiratory exposure (filed 2021 and 2022). Neither appears in the Litigation Summary or in the broker's claims history, which lists 'three claims, all closed.' The CIM states there will be no further costs. FY2024 industrial-cleaning growth is attributed to 'absorption of former asbestos abatement clients' after all asbestos licenses were allowed to lapse, so it should be confirmed that no unlicensed asbestos-related work is being performed.</t>
  </si>
  <si>
    <t xml:space="preserve">LIT s.VI.B; INS s.2, s.4, s.7; QoE 'Service Line Detail'; CIM s.IV.D</t>
  </si>
  <si>
    <t xml:space="preserve">Not quantifiable; long-latency bodily injury claims inherited in a stock deal; two open WC claims.</t>
  </si>
  <si>
    <t xml:space="preserve">Special indemnity (long survival); escrow; insurance</t>
  </si>
  <si>
    <t xml:space="preserve">Run an insurance archaeology exercise for historical occurrence CGL/contractor policies for 2012-2023. Obtain project lists, air-monitoring and NESHAP records. Negotiate a specific asbestos indemnity outside the cap with survival of at least 6 years (ideally longer) and consider a legacy liability/run-off policy. Require disclosure and status of the open WC claims.</t>
  </si>
  <si>
    <t xml:space="preserve">Historical insurance policies 2012-2023; asbestos project list; worker exposure monitoring records; open WC claim files; license surrender documentation.</t>
  </si>
  <si>
    <t xml:space="preserve">FIN-03</t>
  </si>
  <si>
    <t xml:space="preserve">Other add-backs (integration, ERP, owner compensation, asbestos wind-down) are recurring, unsupported or conditional</t>
  </si>
  <si>
    <t xml:space="preserve">Pinnacle integration costs have been added back for three consecutive years ($1,240K / $620K / $800K, FY2022-FY2024), 2.5 years after the March 2022 closing, while the CIM calls integration 'substantially complete.' ERP costs ($385K FY2023; $650K FY2024) relate to a 'RidgeTrack Phase 2 upgrade' expected to finish in Q2 FY2025, contrary to the CIM statement that the system is fully operational with no further spend. The $950K owner-compensation normalization assumes the Calloways' $875K salaries fall to $400K each based on a benchmarking study by Bridgewater Forsyth Group (the buyer's own QoE provider, which raises independence and circularity concerns); it is only valid if new post-closing employment agreements actually reset pay, and the CIM says both founders will continue. Asbestos wind-down costs appear in FY2023 ($920K) and FY2024 ($1.8M) and exclude long-tail liabilities (ENV-05).</t>
  </si>
  <si>
    <t xml:space="preserve">QoE 'EBITDA Bridge', 'Executive Compensation'; CIM s.VI.B, s.XII.C; EAS s.3-4</t>
  </si>
  <si>
    <t xml:space="preserve">Base-case disallowance of integration ($0.80M) and ERP ($0.65M) = $1.45M EBITDA (~$11.6M-$13.1M EV). Owner-comp add-back ($0.95M) at risk if post-closing pay is not reset.</t>
  </si>
  <si>
    <t xml:space="preserve">Price; post-closing employment terms</t>
  </si>
  <si>
    <t xml:space="preserve">Treat integration and ERP/RidgeTrack costs as recurring in the base case. Accept the owner-comp add-back only if executed new employment agreements at market pay are a signing deliverable (LOI s.8(g)). Commission an independent compensation benchmark.</t>
  </si>
  <si>
    <t xml:space="preserve">Invoices and project trackers for integration/ERP spend; Infor contract; Bridgewater Forsyth compensation study and engagement terms; proposed post-closing comp for the Calloways.</t>
  </si>
  <si>
    <t xml:space="preserve">FIN-06</t>
  </si>
  <si>
    <t xml:space="preserve">Historical revenue, margins, service-line mix and geographic revenue differ across data room documents</t>
  </si>
  <si>
    <t xml:space="preserve">FY2021/FY2022/FY2023 revenue is $82.1M/$97.6M/$114.8M (CIM), $82.15M/$97.8M/$114.6M (QoE) and $78.9M/$98.2M/$115.7M (Customer Contract Summary). Gross margin is 33.8%-35.0% (CIM) versus 35.0%-36.0% (QoE). The FY2024 service-line mix is 45/25/18/12 (remediation/waste/emergency response/industrial cleaning) in the CIM and QoE, but 41.5/21.1/15.2/22.3 in the Customer Contract Summary. Geographic revenue allocates 100% of revenue to CO, WY and UT, with nothing to Montana or Idaho, even though the Company has a permitted Billings facility (44 FTEs), Helena, Missoula and Idaho operations and a Montana DEQ customer.</t>
  </si>
  <si>
    <t xml:space="preserve">CIM s.VI.A, s.IV.D; QoE 'Historical P&amp;L', 'Service Line Detail'; CCS 'Historical Revenue by Customer', 'Customer Concentration Summary'; EBS s.2</t>
  </si>
  <si>
    <t xml:space="preserve">Revenue integrity; NWC target and forecasting reliability.</t>
  </si>
  <si>
    <t xml:space="preserve">QoE scope; price</t>
  </si>
  <si>
    <t xml:space="preserve">Expand QoE to include proof of revenue by customer, service line and state, and reconcile to sales-tax filings and state apportionment.</t>
  </si>
  <si>
    <t xml:space="preserve">Revenue by customer x service line x state FY2022-FY2024; state income tax apportionment workpapers.</t>
  </si>
  <si>
    <t xml:space="preserve">FIN-07</t>
  </si>
  <si>
    <t xml:space="preserve">Fleet underinvestment: maintenance capex is understated and there is a ~$9.8M replacement backlog</t>
  </si>
  <si>
    <t xml:space="preserve">38 of 85 fleet/equipment units (44.7%) are at or past their stated useful life, many marked 'Replacement Deferred'. Average fleet age is 8.2 years against a 7-year life. Replacement cost of past-life units is $9.8M, against total NBV of only $1.24M. The QoE itself implies ~$3.3M a year of catch-up capex over three years, on top of the run-rate. Management's 'normalized' maintenance capex of $4.0M-$4.5M reflects suppressed FY2022-FY2023 spending ($4.0M/$3.55M). The fleet schedule also does not match the auto policy: 85 units (55 heavy trucks, 15 trailers, 15 pieces of heavy equipment) versus 87 insured vehicles (34 hazardous waste transport, 53 light-duty).</t>
  </si>
  <si>
    <t xml:space="preserve">QoE 'Capex Detail', 'Fleet &amp; Equipment Schedule'; CIM s.VI.C; INS s.3</t>
  </si>
  <si>
    <t xml:space="preserve">$3.3M (one year of catch-up) to $9.8M (full backlog) of deferred capex; free-cash-flow and DOT/safety risk; possible uninsured units.</t>
  </si>
  <si>
    <t xml:space="preserve">Price (debt-like item or EV reduction); NWC/capex covenant</t>
  </si>
  <si>
    <t xml:space="preserve">Treat the deferred-capex backlog as a debt-like item or a price reduction. Commission a fleet condition and DOT compliance inspection. Reconcile the fleet register to the auto schedule and MCS-90 filings. Add an interim covenant requiring budgeted capex through closing.</t>
  </si>
  <si>
    <t xml:space="preserve">Fixed asset register; DOT inspection/out-of-service records; auto policy vehicle schedule; capital lease schedule.</t>
  </si>
  <si>
    <t xml:space="preserve">GEN-01</t>
  </si>
  <si>
    <t xml:space="preserve">Process / Data Room Integrity</t>
  </si>
  <si>
    <t xml:space="preserve">Data room reliability: management-prepared summaries are pervasively inconsistent and source documents are missing</t>
  </si>
  <si>
    <t xml:space="preserve">Nearly every summary was prepared by the CFO (who also certifies lender compliance and administers the 401(k) plan) or by seller's counsel/financial advisor. We logged 40+ material inconsistencies (see 'Data Inconsistencies' tab). Key source documents are referenced but were not provided: the credit agreement (VDR-067-074), the full Phase II, the trust agreement, employment agreements, leases, the DOE contract and modifications, insurance policies, audit reports and tax returns. The CIM disclaims all reliance and requires recipients to hold harmless the Company and Greylock.</t>
  </si>
  <si>
    <t xml:space="preserve">All documents; CIM s.I</t>
  </si>
  <si>
    <t xml:space="preserve">Systemic misstatement risk; limited recourse for CIM statements.</t>
  </si>
  <si>
    <t xml:space="preserve">Process; SPA reliance and fraud provisions</t>
  </si>
  <si>
    <t xml:space="preserve">No signing until the underlying documents are reviewed. Consider forensic procedures. SPA: robust reps (including a full disclosure rep if obtainable), a fraud carve-out from all limitations, pro-sandbagging, and specific indemnities for the known issues.</t>
  </si>
  <si>
    <t xml:space="preserve">See 'Info Requests' tab.</t>
  </si>
  <si>
    <t xml:space="preserve">Deal team lead</t>
  </si>
  <si>
    <t xml:space="preserve">INS-01</t>
  </si>
  <si>
    <t xml:space="preserve">Insurance</t>
  </si>
  <si>
    <t xml:space="preserve">Pollution program leaves owned and operated facility contamination uninsured, and change of control affects claims-made coverage</t>
  </si>
  <si>
    <t xml:space="preserve">The PLL excludes any gradual pollution condition at owned or operated facilities (anything developing over more than 72 hours), covers only third-party BI/PD, includes defense within limits, carries a $1M regulatory defense sublimit and a January 1, 2015 retro date. The umbrella does not sit over the PLL. The broker warns that a change of control may affect claims-made reporting and tail availability (the tail costs 150% of annual premium and runs 36 months).</t>
  </si>
  <si>
    <t xml:space="preserve">INS s.4, s.5, s.8; ESA s.4.3, s.8.1</t>
  </si>
  <si>
    <t xml:space="preserve">Grand Junction and any other legacy facility conditions sit entirely with RES; tail premium not disclosed.</t>
  </si>
  <si>
    <t xml:space="preserve">Insurance; cost to buyer; special indemnity</t>
  </si>
  <si>
    <t xml:space="preserve">Engage a buyer-side environmental insurance broker to place a new PLL/site pollution program at closing (including owned facilities, with a retro date preserved), price the tail, and evaluate R&amp;W insurance (known matters will be excluded). The SPA should require the seller to bear the tail cost as a Transaction Expense.</t>
  </si>
  <si>
    <t xml:space="preserve">Full PLL, CGL, umbrella and auto policies with endorsements; premium schedule; 5-year loss runs from carrier.</t>
  </si>
  <si>
    <t xml:space="preserve">Insurance broker / counsel</t>
  </si>
  <si>
    <t xml:space="preserve">RE-01</t>
  </si>
  <si>
    <t xml:space="preserve">Real Property</t>
  </si>
  <si>
    <t xml:space="preserve">Salt Lake City lease: unconsented change of control since 2022 (likely existing default), and landlord is now asking questions</t>
  </si>
  <si>
    <t xml:space="preserve">Section 14 of the SLC lease deems any change of control of the tenant (including a sale of equity) an assignment requiring consent, and it prohibits use of the premises by anyone other than the tenant. RES acquired Pinnacle and has operated the premises since March 2022 without consent. Requests made April 12, 2022 (with follow-ups July and November 2022) have gone unanswered. In November 2024 the landlord asked who the tenant of record is and whether any change of control has occurred, citing the consent clause. The Sycamore acquisition would be a further (indirect) change of control. Rent acceptance may not amount to a waiver if the lease has a non-waiver clause. Current rent is ~$31,475/month NNN through March 31, 2029.</t>
  </si>
  <si>
    <t xml:space="preserve">RPL s.3 (row 1), s.4.1, s.6; LIT s.V.B; CCS 'Customer Concentration Summary'; ORG s.4.5</t>
  </si>
  <si>
    <t xml:space="preserve">Termination or holdout leverage over a facility serving ~$16M-$22M of revenue; possible rent re-pricing.</t>
  </si>
  <si>
    <t xml:space="preserve">Closing condition: written landlord consent covering both the 2022 Pinnacle change of control and the Sycamore transaction, plus an estoppel certificate confirming no default. Review the full lease for non-waiver, default and recapture provisions. Seller bears any consent fee or rent increase.</t>
  </si>
  <si>
    <t xml:space="preserve">Full SLC lease and amendments; landlord correspondence (2022 and November 2024) and RES's response; rent ledger.</t>
  </si>
  <si>
    <t xml:space="preserve">Real estate counsel</t>
  </si>
  <si>
    <t xml:space="preserve">REV-03</t>
  </si>
  <si>
    <t xml:space="preserve">Customer concentration and short-notice terminability, with many renewals falling in the signing-to-closing window</t>
  </si>
  <si>
    <t xml:space="preserve">Top 5 customers account for 50.4% of revenue and the top 10 for 67%-70%. 12 of the top 20 contracts are terminable for convenience on 60 days' notice or less, and most MSAs have no minimum volumes. Terms expiring or renewing in the deal window include Silver Creek (Jan 14, 2025), Powder River (Jan 31, 2025), Piceance (Feb 28, 2025), High Plains Energy (Mar 14, 2025), Wasatch Front (Mar 31, 2025), Teton Steel (Apr 30, 2025), CMMC (May 31, 2025; 60-day non-renewal right) and Intermountain Health (expires June 30, 2025; renewal decision by February 2025; consent to assign and 60-day advance change-of-control notice). Elk Mountain ($3.2M) is a one-off 18-month project ending July 2025. The CIM nonetheless presents 67% top-10 concentration as strong diversification.</t>
  </si>
  <si>
    <t xml:space="preserve">CCS 'Top 20 Customers', 'Customer Concentration Summary'; CIM s.III, s.XIII</t>
  </si>
  <si>
    <t xml:space="preserve">Revenue at risk from non-renewal or termination; Elk Mountain revenue is non-recurring ($3.2M).</t>
  </si>
  <si>
    <t xml:space="preserve">Price; interim covenants; closing deliverables</t>
  </si>
  <si>
    <t xml:space="preserve">Hold customer calls with the top 10 (with seller consent) before signing. Interim covenant and bring-down on material customer losses. Make Intermountain and other consent/notice items closing deliverables. Remove one-off project revenue from run-rate.</t>
  </si>
  <si>
    <t xml:space="preserve">All top-20 contracts and amendments; renewal/notice correspondence; backlog by customer.</t>
  </si>
  <si>
    <t xml:space="preserve">CORP-01</t>
  </si>
  <si>
    <t xml:space="preserve">Corporate / Equity</t>
  </si>
  <si>
    <t xml:space="preserve">Calloway Family Trust (35% seller): authority, consents and collectability</t>
  </si>
  <si>
    <t xml:space="preserve">The Trust is irrevocable, and the trustee is Linda Calloway (the founders' mother and a director). The trust instrument has 'distribution provisions and consent requirements that may be relevant to the proposed transaction' (Doc 10.3, not reviewed). LOI s.7.3 limits the Trust's obligations to the trustee's authority, and 'joint and several as to their respective shares' is ambiguous. Post-closing distributions to beneficiaries could leave the Trust unable to fund indemnity claims.</t>
  </si>
  <si>
    <t xml:space="preserve">ORG s.3.5, s.5.1; LOI s.1, s.7.3; CIM s.XII.C</t>
  </si>
  <si>
    <t xml:space="preserve">Inability to bind 35% of shares or to recover indemnity from the Trust.</t>
  </si>
  <si>
    <t xml:space="preserve">Closing condition; structure</t>
  </si>
  <si>
    <t xml:space="preserve">Review the trust agreement. Obtain a trustee certificate, any beneficiary and co-trustee consents and a legal opinion on trustee authority. Make indemnity several based on pro rata shares but backed by escrow, or joint and several among all sellers. Consider a guarantee from the founders.</t>
  </si>
  <si>
    <t xml:space="preserve">Trust agreement and amendments; trustee certification; beneficiary list.</t>
  </si>
  <si>
    <t xml:space="preserve">Corporate team</t>
  </si>
  <si>
    <t xml:space="preserve">CORP-02</t>
  </si>
  <si>
    <t xml:space="preserve">Pinnacle Waste Solutions: dormant subsidiary still holding the permit, lease and guarantee; legacy liabilities</t>
  </si>
  <si>
    <t xml:space="preserve">Pinnacle has been dormant since Q3 2022 but remains the SLC permittee, the SLC tenant and a guarantor under HPNB, with Derek Calloway as sole manager. Because RES bought membership interests, all pre-2022 Pinnacle liabilities stay in the entity. No Pinnacle purchase agreement (to check surviving indemnity rights against Pinnacle's seller), Phase I reports for the SLC/Ogden transfer stations or Pinnacle tax filings are in the data room, and good standing certificates are 'requested.'</t>
  </si>
  <si>
    <t xml:space="preserve">ORG s.2, s.4; EPS s.2.2-2.3; RPL s.4.1; CAS s.1; CIM s.IV.A</t>
  </si>
  <si>
    <t xml:space="preserve">Inherited pre-2022 liabilities; permit and lease issues (ENV-04, RE-01).</t>
  </si>
  <si>
    <t xml:space="preserve">Reps; diligence</t>
  </si>
  <si>
    <t xml:space="preserve">Obtain the Pinnacle acquisition agreement and diligence file; Phase I ESAs for SLC and Ogden; good standings. Decide the post-closing role for Pinnacle (operating entity vs. dissolution).</t>
  </si>
  <si>
    <t xml:space="preserve">Pinnacle MIPA and disclosure schedules; Pinnacle operating agreement; Phase I/II reports for SLC and Ogden; good standing certificates.</t>
  </si>
  <si>
    <t xml:space="preserve">DEBT-01</t>
  </si>
  <si>
    <t xml:space="preserve">HPNB credit facility: change of control is an immediate Event of Default with mandatory prepayment</t>
  </si>
  <si>
    <t xml:space="preserve">The transaction triggers clauses (a) and (c) of the change-of-control definition, which require prepayment of all Obligations within 5 business days. There is no consent or waiver mechanism. The revolver terminates and LCs must be cash-collateralized at 105%. A 1.00% term-loan premium applies through January 16, 2026 ($263,000 on $26.3M; ~$256,425 after the April 17, 2025 amortization payment of $657,500). The estimated payoff is $39.16M-$39.26M plus SOFR breakage. The change-of-management covenant is tied to Derek Calloway. Collateral includes the GJ mortgage, the patents and RidgeTrack, Pinnacle equity, DACAs and lease collateral assignments.</t>
  </si>
  <si>
    <t xml:space="preserve">CAS ss.1-3, 7-10; LOI s.4.1(b), s.8(e); CIM s.XII.B</t>
  </si>
  <si>
    <t xml:space="preserve">Payoff of ~$39.2M plus breakage and LC cash collateral (included in Net Debt).</t>
  </si>
  <si>
    <t xml:space="preserve">Funds flow; Net Debt definition</t>
  </si>
  <si>
    <t xml:space="preserve">Obtain a payoff letter with lien-release undertakings (mortgage, IP security agreements, UCCs, DACAs, collateral assignments of leases). Net Debt definition: include the prepayment premium, breakage, accrued interest, LC cash collateral, capital leases and any default interest.</t>
  </si>
  <si>
    <t xml:space="preserve">Full Credit Agreement and First Amendment (VDR-067-074); LC schedule; capital lease schedule; payoff estimate.</t>
  </si>
  <si>
    <t xml:space="preserve">EMP-04</t>
  </si>
  <si>
    <t xml:space="preserve">Safe harbor 401(k) match suspended for 'cash flow' reasons (January-June 2023)</t>
  </si>
  <si>
    <t xml:space="preserve">The safe harbor match was suspended from January 1 to June 30, 2023 'due to operational cash flow management requirements' and resumed July 1, 2023. Mid-year reduction or suspension of safe harbor contributions is permitted only in limited circumstances (economic loss, or a reservation in the safe harbor notice, plus supplemental notice and amendment; Treas. Reg. s.1.401(k)-3(n)), and the plan must then pass ADP/ACP testing (and may lose top-heavy relief) for the year. Restarting mid-year does not restore safe harbor status. The CFO is the named plan administrator. The suspension also coincides with the January 2023 refinancing and signals a liquidity strain, even as the founders were paid $875K each.</t>
  </si>
  <si>
    <t xml:space="preserve">EBS s.4.2; CAS s.1</t>
  </si>
  <si>
    <t xml:space="preserve">Corrective contributions under EPCRS (illustratively up to ~half the $1.1M annual match, ~$0.55M, plus earnings); plan qualification risk.</t>
  </si>
  <si>
    <t xml:space="preserve">Special indemnity; pre-closing cure</t>
  </si>
  <si>
    <t xml:space="preserve">Obtain plan document, safe harbor notices, amendment, 2023 testing and Form 5500. Pre-closing VCP/SCP correction at seller cost, plus a specific indemnity.</t>
  </si>
  <si>
    <t xml:space="preserve">401(k) plan document and amendments; 2023 safe harbor and supplemental notices; 2023 ADP/ACP/top-heavy testing; Forms 5500 (3 years).</t>
  </si>
  <si>
    <t xml:space="preserve">EMP-05</t>
  </si>
  <si>
    <t xml:space="preserve">Wage-and-hour exposure: FLSA/COMPS demand and PTO forfeiture policy</t>
  </si>
  <si>
    <t xml:space="preserve">Eight former asbestos technicians demand ~$330K (overtime plus FLSA liquidated damages). Management relies on the motor carrier exemption, which looks doubtful for abatement technicians and invites scrutiny of field-tech classification generally (278 technicians). The PTO policy forfeits unused PTO on termination in WY, MT and ID. Montana treats earned vacation as wages, so forfeiture is likely unenforceable there; WY and ID should be confirmed with local counsel. Accrued PTO is $1.4M.</t>
  </si>
  <si>
    <t xml:space="preserve">LIT s.V.A; EBS s.4.3</t>
  </si>
  <si>
    <t xml:space="preserve">$100K-$330K on the demand; broader collective/class exposure if misclassification is systemic; PTO payout liability.</t>
  </si>
  <si>
    <t xml:space="preserve">Special indemnity; NWC (accrued PTO)</t>
  </si>
  <si>
    <t xml:space="preserve">Wage-hour audit of field classifications; include accrued PTO as a current liability in NWC or as Indebtedness; specific indemnity for pre-closing wage-hour claims.</t>
  </si>
  <si>
    <t xml:space="preserve">Demand letter; timekeeping and payroll records for the claimants; exemption analysis; PTO policy and state-by-state payout history.</t>
  </si>
  <si>
    <t xml:space="preserve">EMP-06</t>
  </si>
  <si>
    <t xml:space="preserve">Key-person dependency, conflicting tenure facts and restrictive covenant enforceability</t>
  </si>
  <si>
    <t xml:space="preserve">Customer and regulator relationships (DOE, CMMC, permits) sit with Derek Calloway, Sandra Oakes and Kurt Dillon. Start dates conflict: Engel 2016 (CIM/Org) vs. March 2020 (Employment Summary) vs. June 2019 (QoE); Dillon 15+ years (CIM) vs. 2013 (Org) vs. 2016 (Employment Summary); Oakes 2018 (Org) vs. June 2019 (Employment Summary) vs. hired February 2024 into a 'newly created position' (Benefits Summary). The five-state, two-year non-competes are governed by Colorado law. Agreements before August 10, 2022 fall under the prior C.R.S. s.8-2-113, and new agreements must meet the 2022 statute (the highly compensated threshold was $123,750 for 2024, not the $112,500 cited, which was the 2023 figure; separate notice is required). Enforceability elsewhere (e.g., Montana) varies.</t>
  </si>
  <si>
    <t xml:space="preserve">EAS ss.2-9, 11; CIM s.III, s.VII.B; ORG s.5.2; EBS s.8; QoE 'Executive Compensation'</t>
  </si>
  <si>
    <t xml:space="preserve">Retention risk; weak post-closing protection.</t>
  </si>
  <si>
    <t xml:space="preserve">Closing condition (LOI s.8(g)); SPA covenants</t>
  </si>
  <si>
    <t xml:space="preserve">Seller non-competes and non-solicits in the SPA, relying on the sale-of-business exception for the Calloways and the Trust. New compliant employment agreements with key executives and retention pools. Verify employment histories.</t>
  </si>
  <si>
    <t xml:space="preserve">Executed agreements; personnel files for the five executives; Colorado non-compete notices.</t>
  </si>
  <si>
    <t xml:space="preserve">INS-02</t>
  </si>
  <si>
    <t xml:space="preserve">Insurance and claims data are inconsistent and the carrier/broker identity needs confirmation</t>
  </si>
  <si>
    <t xml:space="preserve">Frontier Specialty Insurance Group is described as both the broker (since 2016) and the carrier on every line, so the actual carrier identity, rating and admitted status need confirmation. The 2023 WC claim is reported as February 8, 2023 / $142,300 (broker) versus 2022 / ~$87,000 (Litigation Summary). EMR is 0.91 (broker) versus 0.94 (Benefits Summary). Ramirez was tendered under CGL and PLL (Litigation Summary) versus CGL and WC (broker); a reservation of rights has issued, the plaintiff is a former employee (raising workers' compensation exclusivity issues) and the punitive claim is likely uninsurable. The credit agreement requires HPNB as loss payee and additional insured, and this is not shown in the broker summary.</t>
  </si>
  <si>
    <t xml:space="preserve">INS ss.1-7; LIT s.II.B, s.IV.C; EBS s.6; CAS s.6</t>
  </si>
  <si>
    <t xml:space="preserve">Coverage gaps on Ramirez ($0.5M-$1.5M management range; $4.8M claimed).</t>
  </si>
  <si>
    <t xml:space="preserve">Insurance diligence; special indemnity for Ramirez</t>
  </si>
  <si>
    <t xml:space="preserve">Obtain carrier loss runs directly, the ROR letter and declarations pages. Add a specific indemnity for Ramirez net of insurance recoveries.</t>
  </si>
  <si>
    <t xml:space="preserve">Carrier-issued loss runs (5-10 years); ROR letter of Sept 19, 2024; declarations pages; A.M. Best ratings.</t>
  </si>
  <si>
    <t xml:space="preserve">IP-01</t>
  </si>
  <si>
    <t xml:space="preserve">Intellectual Property / Technology</t>
  </si>
  <si>
    <t xml:space="preserve">Patent and RidgeTrack ownership not evidenced; RidgeTrack may depend on licensed software</t>
  </si>
  <si>
    <t xml:space="preserve">The two patents and RidgeTrack are pledged to HPNB. No assignment, chain-of-title or maintenance-fee evidence is provided. The CIM presents RidgeTrack as proprietary and internally developed since 2018 (with licensing potential), while the QoE describes the ERP spend as a 'RidgeTrack Phase 2 upgrade' including Infor CloudSuite vendor fees. Which parts of RidgeTrack are owned and which are licensed is unclear, as are any change-of-control restrictions in licenses and employee/contractor invention assignments.</t>
  </si>
  <si>
    <t xml:space="preserve">CIM s.X, s.XI.A; QoE 'EBITDA Bridge', 'Capex Detail'; CAS s.3; LOI s.7.1(h)</t>
  </si>
  <si>
    <t xml:space="preserve">Value of claimed differentiators; license consent risk.</t>
  </si>
  <si>
    <t xml:space="preserve">Patent title search and assignment review; software/IP diligence (code ownership, open source, Infor license terms); IP rep and release of HPNB liens at closing.</t>
  </si>
  <si>
    <t xml:space="preserve">Patent assignments and USPTO records; RidgeTrack architecture and license list; Infor agreement; employee/contractor IP agreements.</t>
  </si>
  <si>
    <t xml:space="preserve">IP counsel</t>
  </si>
  <si>
    <t xml:space="preserve">LIT-01</t>
  </si>
  <si>
    <t xml:space="preserve">Litigation</t>
  </si>
  <si>
    <t xml:space="preserve">Unreserved litigation contingencies and reliance on management assessments</t>
  </si>
  <si>
    <t xml:space="preserve">Ramirez (D. Wyo.) seeks $4.8M including punitive damages, with no accrual and coverage under reservation of rights; trial is set for February 2026. Harper: RES seeks $2.1M and management books a 'probable' $0.8M-$1.4M recovery; the $340K counterclaim is unreserved. The FLSA/COMPS demand is unreserved. Total unreserved exposure is $0.8M-$2.49M on the Company's view and ~$3.2M on CDPHE's 31-day position. All probabilities are management's and are expressly not verified by seller's counsel. Greylock Merritt acts as both seller's counsel and financial/transaction advisor, and the Harper matter is mis-captioned 'Calloway v. Harper.'</t>
  </si>
  <si>
    <t xml:space="preserve">LIT ss.II-VII; INS s.7</t>
  </si>
  <si>
    <t xml:space="preserve">Ramirez $0.5M-$1.5M (management) up to $4.8M claimed; Harper counterclaim up to $0.34M.</t>
  </si>
  <si>
    <t xml:space="preserve">Special indemnities; NWC exclusions</t>
  </si>
  <si>
    <t xml:space="preserve">Specific indemnities for Ramirez, the wage claim and the Harper counterclaim. Exclude any anticipated Harper recovery from NWC and EBITDA. Have buyer litigation counsel review the pleadings.</t>
  </si>
  <si>
    <t xml:space="preserve">Pleadings, scheduling orders, discovery responses and expert disclosures; insurer coverage correspondence.</t>
  </si>
  <si>
    <t xml:space="preserve">Litigation counsel</t>
  </si>
  <si>
    <t xml:space="preserve">RE-02</t>
  </si>
  <si>
    <t xml:space="preserve">Facility lists conflict, and other leases need consents</t>
  </si>
  <si>
    <t xml:space="preserve">The Benefits Summary headcount table lists Colorado Springs, Pocatello and Helena locations that do not appear in the Lease Schedule, and the Lease Schedule lists Pueblo, Missoula and Cheyenne, which have no headcount. Denver (1600 Wewatta vs. 4500 Holly), Boise (7830 W. Fairview vs. 7755 Emerald) and Rock Springs (545 vs. 1890 Gateway) addresses differ. Grand Junction building sizes differ between the Phase II and the Lease Schedule (vehicle maintenance building 28,000 vs. 8,200 sq ft, which matters for vapor intrusion), as does GJ headcount (142 vs. ~85 of '310' employees). The Ogden lease has an explicit change-of-control trigger; Casper, Billings, Denver, Rock Springs and Cheyenne require landlord consent to assignment. The Pueblo lease expires April 30, 2025, the target closing date.</t>
  </si>
  <si>
    <t xml:space="preserve">EBS s.2; RPL ss.2-6; CIM s.IV.C; ESA s.2.1; LOI s.8(e)</t>
  </si>
  <si>
    <t xml:space="preserve">Possible undisclosed leases or operations (and related permits/insurance); consent leverage.</t>
  </si>
  <si>
    <t xml:space="preserve">Closing deliverables; reps</t>
  </si>
  <si>
    <t xml:space="preserve">Obtain a definitive facility list tied to leases, permits, insurance schedules and payroll locations. Obtain consents (Ogden explicitly) and estoppels for all material leases. Real property rep covering all occupied locations.</t>
  </si>
  <si>
    <t xml:space="preserve">All leases; list of every location where employees report or equipment is stored; property tax and insurance location schedules.</t>
  </si>
  <si>
    <t xml:space="preserve">REV-04</t>
  </si>
  <si>
    <t xml:space="preserve">Third-party consents and notices are required under customer contracts</t>
  </si>
  <si>
    <t xml:space="preserve">8 of the top 20 customer contracts contain assignment, change-of-control or notification provisions: DOE (H-12 notice), Intermountain (consent; 60-day CoC notice), Utah DEQ (notice within 30 days; termination right if qualifications are affected), Rocky Mountain Pipeline (CoC triggers 30-day notice and consent period), CDOT (notice; consent for assignment), Summit County (board approval for any CoC), Frontier E&amp;P (notice within 30 days) and Bridger Valley/Teton (mutual consent to assign). Pinnacle-legacy contracts are said to have been 'assumed by RES,' and whether those assignments were effective is unverified.</t>
  </si>
  <si>
    <t xml:space="preserve">CCS 'Top 20 Customers', 'Customer Concentration Summary'</t>
  </si>
  <si>
    <t xml:space="preserve">Termination or leverage risk on ~$40M+ of revenue subject to notice/consent provisions.</t>
  </si>
  <si>
    <t xml:space="preserve">Closing deliverables</t>
  </si>
  <si>
    <t xml:space="preserve">Build a consent and notice plan (see 'Consents &amp; Notices' tab). Make Summit County, Rocky Mountain Pipeline and Intermountain consents closing conditions or deliverables. Confirm the Pinnacle contract assignments.</t>
  </si>
  <si>
    <t xml:space="preserve">Assignment/assumption documents for Pinnacle-legacy contracts (PWS- references).</t>
  </si>
  <si>
    <t xml:space="preserve">TAX-01</t>
  </si>
  <si>
    <t xml:space="preserve">Tax</t>
  </si>
  <si>
    <t xml:space="preserve">No tax diligence materials provided</t>
  </si>
  <si>
    <t xml:space="preserve">The deal is a stock purchase of a C-corporation, so the buyer inherits all historical tax exposure, with no basis step-up absent an election. No tax returns, audits or nexus analyses are in the data room, despite operations in five states. The QoE applies a flat 25.0% effective rate in every year from FY2020 to FY2024, which suggests modeled rather than actual taxes. The credit agreement's 'tax distribution' language should be explained for a C-corporation.</t>
  </si>
  <si>
    <t xml:space="preserve">QoE 'Historical P&amp;L'; CAS s.7; LOI s.5.2(c), s.7.1(l)</t>
  </si>
  <si>
    <t xml:space="preserve">Unknown historical tax liabilities (income, sales/use, payroll, multistate).</t>
  </si>
  <si>
    <t xml:space="preserve">Tax indemnity; R&amp;W</t>
  </si>
  <si>
    <t xml:space="preserve">Full tax diligence (federal and state returns for 3-6 years, sales/use tax on services, payroll). Pre-closing tax indemnity surviving 6 years per LOI.</t>
  </si>
  <si>
    <t xml:space="preserve">Federal and state income tax returns (6 years); sales/use and payroll filings; IRS/state audit correspondence; tax provision workpapers.</t>
  </si>
  <si>
    <t xml:space="preserve">Tax counsel</t>
  </si>
  <si>
    <t xml:space="preserve">CORP-03</t>
  </si>
  <si>
    <t xml:space="preserve">LOI execution and drafting points; inconsistent NDA dates</t>
  </si>
  <si>
    <t xml:space="preserve">The data room copy of the 'Executed' LOI has blank signature and date blocks; binding exclusivity runs to February 28, 2025 only if properly executed. There are cross-reference errors (s.12.2 refers to 's.4(c)'; s.13.3 refers to 'this Section 13.1'). The NDA is dated September 12, 2024 (LOI), October 15, 2024 (Lease Schedule, QoE), October 28, 2024 (Benefits Summary) or 'October 2024' (Litigation Summary). The February 14, 2025 target signing leaves little time for the third-party actions identified in this review.</t>
  </si>
  <si>
    <t xml:space="preserve">LOI ss.2.4, 10-13, signature pages; RPL cover; QoE cover; EBS footer; LIT footer</t>
  </si>
  <si>
    <t xml:space="preserve">Enforceability of exclusivity and confidentiality.</t>
  </si>
  <si>
    <t xml:space="preserve">Process</t>
  </si>
  <si>
    <t xml:space="preserve">Confirm the fully executed LOI and NDA. Seek an exclusivity extension tied to the diligence work plan.</t>
  </si>
  <si>
    <t xml:space="preserve">Fully executed LOI and NDA.</t>
  </si>
  <si>
    <t xml:space="preserve">FY2024 EBITDA Bridge - Management vs. Diligence View ($000s)</t>
  </si>
  <si>
    <t xml:space="preserve">Line item</t>
  </si>
  <si>
    <t xml:space="preserve">FY2024 ($000)</t>
  </si>
  <si>
    <t xml:space="preserve">Basis / source</t>
  </si>
  <si>
    <t xml:space="preserve">Reported EBITDA per management (bridge starting point)</t>
  </si>
  <si>
    <t xml:space="preserve">QoE EBITDA Bridge; note QoE P&amp;L shows EBIT of $18,400K and EBITDA of $26,036K (FIN-01)</t>
  </si>
  <si>
    <t xml:space="preserve">Add-back: one-time litigation settlement</t>
  </si>
  <si>
    <t xml:space="preserve">QoE bridge (Harper); LIT says $1.2M was a RECEIPT from Clearwater (FIN-02)</t>
  </si>
  <si>
    <t xml:space="preserve">Add-back: owner compensation normalization</t>
  </si>
  <si>
    <t xml:space="preserve">$1,750K actual less $800K 'market' per Bridgewater Forsyth study</t>
  </si>
  <si>
    <t xml:space="preserve">Add-back: ERP / RidgeTrack Phase 2</t>
  </si>
  <si>
    <t xml:space="preserve">Continuing into Q2 FY2025; FY2023 add-back $385K</t>
  </si>
  <si>
    <t xml:space="preserve">Add-back: Pinnacle integration</t>
  </si>
  <si>
    <t xml:space="preserve">Third consecutive year (FY2022 $1,240K; FY2023 $620K)</t>
  </si>
  <si>
    <t xml:space="preserve">Add-back: asbestos wind-down</t>
  </si>
  <si>
    <t xml:space="preserve">Discontinued line; tail liabilities excluded</t>
  </si>
  <si>
    <t xml:space="preserve">Management Adjusted EBITDA (QoE bridge)</t>
  </si>
  <si>
    <t xml:space="preserve">Ties to QoE $23,800K</t>
  </si>
  <si>
    <t xml:space="preserve">Adjusted EBITDA per CIM / LOI</t>
  </si>
  <si>
    <t xml:space="preserve">LOI s.3.1; CIM s.II</t>
  </si>
  <si>
    <t xml:space="preserve">Unreconciled difference (QoE less CIM)</t>
  </si>
  <si>
    <t xml:space="preserve">Management: 'specific adjustment category causing the discrepancy has not been identified'</t>
  </si>
  <si>
    <t xml:space="preserve">Diligence adjustments</t>
  </si>
  <si>
    <t xml:space="preserve">Base ($000)</t>
  </si>
  <si>
    <t xml:space="preserve">Downside ($000)</t>
  </si>
  <si>
    <t xml:space="preserve">Rationale</t>
  </si>
  <si>
    <t xml:space="preserve">Reverse litigation settlement add-back</t>
  </si>
  <si>
    <t xml:space="preserve">Unsupported / contradicted (FIN-02)</t>
  </si>
  <si>
    <t xml:space="preserve">Eliminate Clearwater settlement gain from reported EBITDA (if recorded in operating income)</t>
  </si>
  <si>
    <t xml:space="preserve">LIT s.IV.A: Clearwater paid RES $1.2M (FIN-02)</t>
  </si>
  <si>
    <t xml:space="preserve">Reverse ERP / RidgeTrack add-back</t>
  </si>
  <si>
    <t xml:space="preserve">Recurring technology spend; not complete (FIN-03)</t>
  </si>
  <si>
    <t xml:space="preserve">Reverse Pinnacle integration add-back</t>
  </si>
  <si>
    <t xml:space="preserve">Recurring for 3 years (FIN-03)</t>
  </si>
  <si>
    <t xml:space="preserve">Reverse owner comp normalization (if post-closing comp not reset)</t>
  </si>
  <si>
    <t xml:space="preserve">Conditional on new employment agreements (FIN-03 / EMP-01)</t>
  </si>
  <si>
    <t xml:space="preserve">Asbestos wind-down (accepted as non-recurring)</t>
  </si>
  <si>
    <t xml:space="preserve">Accepted, subject to tail liabilities (ENV-05)</t>
  </si>
  <si>
    <t xml:space="preserve">Total diligence adjustments</t>
  </si>
  <si>
    <t xml:space="preserve">Diligence-Adjusted EBITDA</t>
  </si>
  <si>
    <t xml:space="preserve">DOE ceiling sensitivity</t>
  </si>
  <si>
    <t xml:space="preserve">Value</t>
  </si>
  <si>
    <t xml:space="preserve">Basis</t>
  </si>
  <si>
    <t xml:space="preserve">FY2025 DOE revenue headwind if ceiling not increased ($000)</t>
  </si>
  <si>
    <t xml:space="preserve">CCS DOE tab: $24.4M TTM vs $12.3M remaining ceiling (management basis)</t>
  </si>
  <si>
    <t xml:space="preserve">Assumed contribution margin on lost DOE revenue</t>
  </si>
  <si>
    <t xml:space="preserve">QoE Service Line Detail: environmental remediation contribution margin FY2024 37.0%</t>
  </si>
  <si>
    <t xml:space="preserve">Estimated EBITDA impact ($000)</t>
  </si>
  <si>
    <t xml:space="preserve">Valuation scenarios</t>
  </si>
  <si>
    <t xml:space="preserve">vs. LOI low EV ($000)</t>
  </si>
  <si>
    <t xml:space="preserve">vs. LOI high EV ($000)</t>
  </si>
  <si>
    <t xml:space="preserve">Comment</t>
  </si>
  <si>
    <t xml:space="preserve">LOI basis (CIM Adjusted EBITDA)</t>
  </si>
  <si>
    <t xml:space="preserve">LOI EV range $182M-$205M</t>
  </si>
  <si>
    <t xml:space="preserve">Diligence base case</t>
  </si>
  <si>
    <t xml:space="preserve">Removes unsupported/recurring add-backs</t>
  </si>
  <si>
    <t xml:space="preserve">Diligence downside case</t>
  </si>
  <si>
    <t xml:space="preserve">Also removes Clearwater gain and owner-comp add-back</t>
  </si>
  <si>
    <t xml:space="preserve">Base case less DOE ceiling impact (run-rate)</t>
  </si>
  <si>
    <t xml:space="preserve">If no ceiling increase / follow-on award</t>
  </si>
  <si>
    <t xml:space="preserve">Bank 'Consolidated EBITDA' (reference)</t>
  </si>
  <si>
    <t xml:space="preserve">CAS s.4 - lender definition</t>
  </si>
  <si>
    <t xml:space="preserve">Inputs</t>
  </si>
  <si>
    <t xml:space="preserve">Low multiple</t>
  </si>
  <si>
    <t xml:space="preserve">High multiple</t>
  </si>
  <si>
    <t xml:space="preserve">LOI EV - low ($000)</t>
  </si>
  <si>
    <t xml:space="preserve">LOI EV - high ($000)</t>
  </si>
  <si>
    <t xml:space="preserve">Note: each $1.0M of EBITDA equals $8.0M-$9.0M of enterprise value at the LOI multiple range. Figures are illustrative and subject to completion of the QoE.</t>
  </si>
  <si>
    <t xml:space="preserve">Ref</t>
  </si>
  <si>
    <t xml:space="preserve">Exposure item</t>
  </si>
  <si>
    <t xml:space="preserve">Proposed SPA treatment</t>
  </si>
  <si>
    <t xml:space="preserve">Basis / notes</t>
  </si>
  <si>
    <t xml:space="preserve">CoC severance - Calloways (single trigger)</t>
  </si>
  <si>
    <t xml:space="preserve">Transaction Expense (deduct from price)</t>
  </si>
  <si>
    <t xml:space="preserve">High assumes 18 months of base + target bonus each (1.5 x ($875K + $437.5K))</t>
  </si>
  <si>
    <t xml:space="preserve">CoC severance - Engel / Dillon / Oakes (double trigger)</t>
  </si>
  <si>
    <t xml:space="preserve">Transaction Expense if triggered; else seller indemnity for 12 months</t>
  </si>
  <si>
    <t xml:space="preserve">QoE tab suggests all five are CoC-triggered</t>
  </si>
  <si>
    <t xml:space="preserve">Employer Medicare tax on CoC payments (1.45%)</t>
  </si>
  <si>
    <t xml:space="preserve">Transaction Expense (LOI s.4.1(c)(v))</t>
  </si>
  <si>
    <t xml:space="preserve">Estimate; Social Security wage base assumed exceeded</t>
  </si>
  <si>
    <t xml:space="preserve">Term loan prepayment premium (1.00%)</t>
  </si>
  <si>
    <t xml:space="preserve">Indebtedness / Net Debt</t>
  </si>
  <si>
    <t xml:space="preserve">Low reflects April 17, 2025 amortization; plus SOFR breakage (TBD)</t>
  </si>
  <si>
    <t xml:space="preserve">CDPHE penalty (CDPHE-HW-2024-0093)</t>
  </si>
  <si>
    <t xml:space="preserve">Specific indemnity / Indebtedness</t>
  </si>
  <si>
    <t xml:space="preserve">Management settlement range vs CDPHE 31-day position; no accrual</t>
  </si>
  <si>
    <t xml:space="preserve">Grand Junction remediation - gross cost</t>
  </si>
  <si>
    <t xml:space="preserve">Specific environmental indemnity + escrow</t>
  </si>
  <si>
    <t xml:space="preserve">2019 estimate; high = 2019 high x 1.30 illustrative escalation; excludes vapor intrusion, off-site, DNAPL, NRD</t>
  </si>
  <si>
    <t xml:space="preserve">Less: existing Grand Junction accrual</t>
  </si>
  <si>
    <t xml:space="preserve">LIT s.VI.A</t>
  </si>
  <si>
    <t xml:space="preserve">Grand Junction remediation - unaccrued</t>
  </si>
  <si>
    <t xml:space="preserve">Formula</t>
  </si>
  <si>
    <t xml:space="preserve">Ramirez v. RES (D. Wyo.)</t>
  </si>
  <si>
    <t xml:space="preserve">Specific indemnity (net of insurance)</t>
  </si>
  <si>
    <t xml:space="preserve">Management range; $4.8M claimed; ROR issued</t>
  </si>
  <si>
    <t xml:space="preserve">Harper counterclaim</t>
  </si>
  <si>
    <t xml:space="preserve">Specific indemnity</t>
  </si>
  <si>
    <t xml:space="preserve">Management: remote</t>
  </si>
  <si>
    <t xml:space="preserve">FLSA / COMPS wage demand</t>
  </si>
  <si>
    <t xml:space="preserve">Demand $330K incl. liquidated damages</t>
  </si>
  <si>
    <t xml:space="preserve">401(k) safe harbor correction (estimate)</t>
  </si>
  <si>
    <t xml:space="preserve">Pre-closing cure at seller cost / specific indemnity</t>
  </si>
  <si>
    <t xml:space="preserve">Illustrative: ~half of $1.1M annual match plus earnings</t>
  </si>
  <si>
    <t xml:space="preserve">Deferred fleet replacement (capex backlog)</t>
  </si>
  <si>
    <t xml:space="preserve">Price reduction or debt-like item</t>
  </si>
  <si>
    <t xml:space="preserve">QoE fleet schedule: $9.8M past-life replacement cost; ~$3.3M/yr catch-up</t>
  </si>
  <si>
    <t xml:space="preserve">Items not quantified (TBD)</t>
  </si>
  <si>
    <t xml:space="preserve">Vapor intrusion assessment / mitigation and off-site groundwater (ENV-01); Asbestos long-tail claims and two open WC claims (ENV-05); PLL extended reporting (150% of annual premium) / replacement program (INS-01); Wyoming and Utah permit non-compliance (ENV-03 / ENV-04); Revenue integrity / customer roster (REV-02)</t>
  </si>
  <si>
    <t xml:space="preserve">TOTAL quantified exposure (excl. gross/accrual rows 7-8)</t>
  </si>
  <si>
    <t xml:space="preserve">Compare: 10% holdback of $18.2M-$20.5M is also the proposed general indemnity cap (LOI s.5.3)</t>
  </si>
  <si>
    <t xml:space="preserve">Memo: HPNB payoff (Net Debt, already contemplated by LOI)</t>
  </si>
  <si>
    <t xml:space="preserve">Memo: accrued PTO liability (NWC / debt-like)</t>
  </si>
  <si>
    <t xml:space="preserve">Memo: DOE FY2025 revenue headwind (revenue, not EBITDA)</t>
  </si>
  <si>
    <t xml:space="preserve">DOE IDIQ DE-EM-0005523 - Ceiling and Revenue Reconciliation ($000s)</t>
  </si>
  <si>
    <t xml:space="preserve">Task Order</t>
  </si>
  <si>
    <t xml:space="preserve">Description</t>
  </si>
  <si>
    <t xml:space="preserve">TO Ceiling</t>
  </si>
  <si>
    <t xml:space="preserve">Revenue Recognized</t>
  </si>
  <si>
    <t xml:space="preserve">Remaining TO Value</t>
  </si>
  <si>
    <t xml:space="preserve">DE-EM-0005523-0001</t>
  </si>
  <si>
    <t xml:space="preserve">Soil &amp; Groundwater Remediation - Rocky Flats</t>
  </si>
  <si>
    <t xml:space="preserve">Completed</t>
  </si>
  <si>
    <t xml:space="preserve">DE-EM-0005523-0002</t>
  </si>
  <si>
    <t xml:space="preserve">Waste Characterization - Grand Junction DOE Site</t>
  </si>
  <si>
    <t xml:space="preserve">DE-EM-0005523-0003</t>
  </si>
  <si>
    <t xml:space="preserve">Environmental Monitoring - Rifle, CO</t>
  </si>
  <si>
    <t xml:space="preserve">DE-EM-0005523-0004</t>
  </si>
  <si>
    <t xml:space="preserve">D&amp;D Support - Building 71, Rocky Flats</t>
  </si>
  <si>
    <t xml:space="preserve">DE-EM-0005523-0005</t>
  </si>
  <si>
    <t xml:space="preserve">Soil Remediation Phase II - Grand Junction DOE Site</t>
  </si>
  <si>
    <t xml:space="preserve">DE-EM-0005523-0006</t>
  </si>
  <si>
    <t xml:space="preserve">Groundwater Treatment O&amp;M - Durango</t>
  </si>
  <si>
    <t xml:space="preserve">Active</t>
  </si>
  <si>
    <t xml:space="preserve">DE-EM-0005523-0007</t>
  </si>
  <si>
    <t xml:space="preserve">Hazmat Transportation - Multi-Site</t>
  </si>
  <si>
    <t xml:space="preserve">DE-EM-0005523-0008</t>
  </si>
  <si>
    <t xml:space="preserve">HW Characterization &amp; Disposal - Grand Junction</t>
  </si>
  <si>
    <t xml:space="preserve">DE-EM-0005523-0009</t>
  </si>
  <si>
    <t xml:space="preserve">Radiological Survey - Naturita, CO</t>
  </si>
  <si>
    <t xml:space="preserve">DE-EM-0005523-0010</t>
  </si>
  <si>
    <t xml:space="preserve">Contaminated Soil Excavation - Wyoming</t>
  </si>
  <si>
    <t xml:space="preserve">DE-EM-0005523-0011</t>
  </si>
  <si>
    <t xml:space="preserve">Monitoring Well Installation - Grand Junction</t>
  </si>
  <si>
    <t xml:space="preserve">DE-EM-0005523-0012</t>
  </si>
  <si>
    <t xml:space="preserve">Emergency Response Support - Wyoming</t>
  </si>
  <si>
    <t xml:space="preserve">DE-EM-0005523-0013</t>
  </si>
  <si>
    <t xml:space="preserve">Long-Term S&amp;M - Slick Rock, CO</t>
  </si>
  <si>
    <t xml:space="preserve">Totals</t>
  </si>
  <si>
    <t xml:space="preserve">IDIQ ceiling</t>
  </si>
  <si>
    <t xml:space="preserve">Contract maximum</t>
  </si>
  <si>
    <t xml:space="preserve">Ceiling 'consumed' per management</t>
  </si>
  <si>
    <t xml:space="preserve">CCS DOE tab</t>
  </si>
  <si>
    <t xml:space="preserve">Remaining ceiling per management</t>
  </si>
  <si>
    <t xml:space="preserve">Management: $12.3M</t>
  </si>
  <si>
    <t xml:space="preserve">Remaining ceiling based on TO ceilings issued</t>
  </si>
  <si>
    <t xml:space="preserve">Completed TOs billed at full ceiling, so obligations appear &gt;= TO ceilings</t>
  </si>
  <si>
    <t xml:space="preserve">FY2024 TTM DOE revenue</t>
  </si>
  <si>
    <t xml:space="preserve">CCS / CIM</t>
  </si>
  <si>
    <t xml:space="preserve">Monthly run-rate</t>
  </si>
  <si>
    <t xml:space="preserve">Months of ceiling remaining - management basis</t>
  </si>
  <si>
    <t xml:space="preserve">From Oct 1, 2024</t>
  </si>
  <si>
    <t xml:space="preserve">Months of ceiling remaining - TO basis</t>
  </si>
  <si>
    <t xml:space="preserve">Contract months remaining after Oct 1, 2024</t>
  </si>
  <si>
    <t xml:space="preserve">Through Aug 31, 2026</t>
  </si>
  <si>
    <t xml:space="preserve">Unfunded contract months - management basis</t>
  </si>
  <si>
    <t xml:space="preserve">FY2025 revenue headwind - management basis</t>
  </si>
  <si>
    <t xml:space="preserve">CCS: ~$12.1M (9.5% of revenue)</t>
  </si>
  <si>
    <t xml:space="preserve">FY2025 revenue headwind - TO basis</t>
  </si>
  <si>
    <t xml:space="preserve">DOE revenue reported FY2021-FY2024 - Customer Contract Summary</t>
  </si>
  <si>
    <t xml:space="preserve">CCS Historical Revenue tab</t>
  </si>
  <si>
    <t xml:space="preserve">DOE revenue reported FY2021-FY2024 - QoE</t>
  </si>
  <si>
    <t xml:space="preserve">QoE Revenue by Customer tab</t>
  </si>
  <si>
    <t xml:space="preserve">Revenue recognized under IDIQ task orders (to 9/30/24)</t>
  </si>
  <si>
    <t xml:space="preserve">Unexplained DOE revenue (CCS basis)</t>
  </si>
  <si>
    <t xml:space="preserve">Exceeds TO revenue; also exceeds $45M ceiling</t>
  </si>
  <si>
    <t xml:space="preserve">Reported DOE revenue as % of total IDIQ ceiling</t>
  </si>
  <si>
    <t xml:space="preserve">#</t>
  </si>
  <si>
    <t xml:space="preserve">Topic</t>
  </si>
  <si>
    <t xml:space="preserve">Source A</t>
  </si>
  <si>
    <t xml:space="preserve">Source B</t>
  </si>
  <si>
    <t xml:space="preserve">Source C</t>
  </si>
  <si>
    <t xml:space="preserve">Significance</t>
  </si>
  <si>
    <t xml:space="preserve">FY2024 Adjusted EBITDA</t>
  </si>
  <si>
    <t xml:space="preserve">CIM / LOI: $22.8M (adjustments ~$4.4M)</t>
  </si>
  <si>
    <t xml:space="preserve">QoE bridge: $23.8M (adjustments $5.4M)</t>
  </si>
  <si>
    <t xml:space="preserve">CAS: cites both; QoE note: $1.0M difference 'not identified'</t>
  </si>
  <si>
    <t xml:space="preserve">Valuation base unreconciled</t>
  </si>
  <si>
    <t xml:space="preserve">FY2024 'reported' EBITDA</t>
  </si>
  <si>
    <t xml:space="preserve">CIM / QoE bridge: $18.4M</t>
  </si>
  <si>
    <t xml:space="preserve">QoE P&amp;L: EBIT $18,400K; EBITDA line $26,036K</t>
  </si>
  <si>
    <t xml:space="preserve">CAS: bank Consolidated EBITDA ~ $18.4M</t>
  </si>
  <si>
    <t xml:space="preserve">Starting point of bridge does not tie to P&amp;L</t>
  </si>
  <si>
    <t xml:space="preserve">$1.2M litigation settlement</t>
  </si>
  <si>
    <t xml:space="preserve">CIM: costs incurred; settlement resolved in period</t>
  </si>
  <si>
    <t xml:space="preserve">QoE: Harper settlement paid by RES (July 2024)</t>
  </si>
  <si>
    <t xml:space="preserve">LIT: Harper pending; Clearwater PAID RES $1.2M (April 2024)</t>
  </si>
  <si>
    <t xml:space="preserve">Add-back may be a gain - direction reversed</t>
  </si>
  <si>
    <t xml:space="preserve">Audit status</t>
  </si>
  <si>
    <t xml:space="preserve">CIM: unaudited; reviewed by Hansen &amp; Whitfield</t>
  </si>
  <si>
    <t xml:space="preserve">QoE: FY20-23 audited by Plante Moran; FY24 reviewed</t>
  </si>
  <si>
    <t xml:space="preserve">LIT: 'FY2024 audited financial statements'</t>
  </si>
  <si>
    <t xml:space="preserve">LOI s.8(i) condition; lender covenant</t>
  </si>
  <si>
    <t xml:space="preserve">Revenue FY2021 / FY2022 / FY2023</t>
  </si>
  <si>
    <t xml:space="preserve">CIM: $82.1M / $97.6M / $114.8M</t>
  </si>
  <si>
    <t xml:space="preserve">QoE: $82.15M / $97.8M / $114.6M</t>
  </si>
  <si>
    <t xml:space="preserve">CCS: $78.9M / $98.2M / $115.7M</t>
  </si>
  <si>
    <t xml:space="preserve">Revenue integrity</t>
  </si>
  <si>
    <t xml:space="preserve">Gross margin FY2020-FY2024</t>
  </si>
  <si>
    <t xml:space="preserve">CIM: 33.8% -&gt; 35.0%</t>
  </si>
  <si>
    <t xml:space="preserve">QoE: 35.0% -&gt; 35.0% (36.0% peak)</t>
  </si>
  <si>
    <t xml:space="preserve">-</t>
  </si>
  <si>
    <t xml:space="preserve">Margin trend unreliable</t>
  </si>
  <si>
    <t xml:space="preserve">FY2024 service-line mix (Rem/Waste/ER/IC)</t>
  </si>
  <si>
    <t xml:space="preserve">CIM &amp; QoE: 45 / 25 / 18 / 12</t>
  </si>
  <si>
    <t xml:space="preserve">CCS: 41.5 / 21.1 / 15.2 / 22.3</t>
  </si>
  <si>
    <t xml:space="preserve">Industrial cleaning 12% vs 22%</t>
  </si>
  <si>
    <t xml:space="preserve">Customer roster (ranks 3-20)</t>
  </si>
  <si>
    <t xml:space="preserve">CCS: WSMWD, High Plains Energy, Intermountain Health, Wasatch Front, Silver Creek...</t>
  </si>
  <si>
    <t xml:space="preserve">QoE: WS Energy Partners, Rio Tinto, Suncor, CDPHE, Freeport, Marathon, Newmont...</t>
  </si>
  <si>
    <t xml:space="preserve">CIM: Customers C/D/E = $10.2M / $7.6M / $6.4M</t>
  </si>
  <si>
    <t xml:space="preserve">Two different customer bases; both total $127.3M</t>
  </si>
  <si>
    <t xml:space="preserve">DOE revenue FY2021-FY2024</t>
  </si>
  <si>
    <t xml:space="preserve">CCS: $63.9M cumulative</t>
  </si>
  <si>
    <t xml:space="preserve">QoE: $62.7M cumulative</t>
  </si>
  <si>
    <t xml:space="preserve">DOE TO data: $31.7M recognized; ceiling $45.0M</t>
  </si>
  <si>
    <t xml:space="preserve">Revenue exceeds contract ceiling</t>
  </si>
  <si>
    <t xml:space="preserve">DOE remaining ceiling</t>
  </si>
  <si>
    <t xml:space="preserve">CCS: $12.3M ($32.7M 'obligated')</t>
  </si>
  <si>
    <t xml:space="preserve">TO ceilings issued: $38.2M -&gt; ~$6.8M remaining</t>
  </si>
  <si>
    <t xml:space="preserve">Exhaustion may be earlier than Apr-May 2025</t>
  </si>
  <si>
    <t xml:space="preserve">Top-10 concentration</t>
  </si>
  <si>
    <t xml:space="preserve">CCS &amp; QoE: 67.0%</t>
  </si>
  <si>
    <t xml:space="preserve">CCS re-ranked (Bridger Valley #10 not Uinta): 70.1%</t>
  </si>
  <si>
    <t xml:space="preserve">CIM: 67% described as 'strong' diversification</t>
  </si>
  <si>
    <t xml:space="preserve">Concentration understated</t>
  </si>
  <si>
    <t xml:space="preserve">'All other' customers</t>
  </si>
  <si>
    <t xml:space="preserve">CCS: $13.8M (~85 customers)</t>
  </si>
  <si>
    <t xml:space="preserve">QoE: $19.1M (~120 accounts)</t>
  </si>
  <si>
    <t xml:space="preserve">CIM: $42.0M (33%)</t>
  </si>
  <si>
    <t xml:space="preserve">Customer base composition</t>
  </si>
  <si>
    <t xml:space="preserve">Revenue by geography</t>
  </si>
  <si>
    <t xml:space="preserve">CCS: CO 49.9% / WY 23.7% / UT 26.4% (=100%)</t>
  </si>
  <si>
    <t xml:space="preserve">Facilities &amp; permits also in MT and ID; QoE lists Montana DEQ customer</t>
  </si>
  <si>
    <t xml:space="preserve">MT/ID revenue unexplained</t>
  </si>
  <si>
    <t xml:space="preserve">SLC-served revenue</t>
  </si>
  <si>
    <t xml:space="preserve">CCS summary: ~$16.2M</t>
  </si>
  <si>
    <t xml:space="preserve">CCS component list sums to ~$21.6M</t>
  </si>
  <si>
    <t xml:space="preserve">Exposure sizing for SLC lease/permit</t>
  </si>
  <si>
    <t xml:space="preserve">Pinnacle-legacy revenue</t>
  </si>
  <si>
    <t xml:space="preserve">CCS summary: $20.5M (5 customers)</t>
  </si>
  <si>
    <t xml:space="preserve">Component list sums to $17.0M; Summit County contract post-dates acquisition</t>
  </si>
  <si>
    <t xml:space="preserve">Acquisition performance</t>
  </si>
  <si>
    <t xml:space="preserve">CDPHE NOV description</t>
  </si>
  <si>
    <t xml:space="preserve">CIM: self-reported 'storage duration exceedance'</t>
  </si>
  <si>
    <t xml:space="preserve">EPS: satellite accumulation &gt;55 gallons</t>
  </si>
  <si>
    <t xml:space="preserve">LIT: ~14,000 gal F001/F002 in unpermitted area &gt;90 days</t>
  </si>
  <si>
    <t xml:space="preserve">Severity understated</t>
  </si>
  <si>
    <t xml:space="preserve">Prior RCRA violations at GJ</t>
  </si>
  <si>
    <t xml:space="preserve">LIT: no prior RCRA violations in ~12 years</t>
  </si>
  <si>
    <t xml:space="preserve">EPS: 2016 labeling violation</t>
  </si>
  <si>
    <t xml:space="preserve">Penalty mitigation argument</t>
  </si>
  <si>
    <t xml:space="preserve">Wyoming permit</t>
  </si>
  <si>
    <t xml:space="preserve">CIM: timely renewal; operations continue</t>
  </si>
  <si>
    <t xml:space="preserve">EPS: expired Nov 30, 2024; filed 46 days prior</t>
  </si>
  <si>
    <t xml:space="preserve">Possible lapse of authorization</t>
  </si>
  <si>
    <t xml:space="preserve">GJ contamination location / migration</t>
  </si>
  <si>
    <t xml:space="preserve">EPS: 'northern portion'; toward properties north and east</t>
  </si>
  <si>
    <t xml:space="preserve">ESA: western UST area &amp; eastern degreasing area; flow NW to Colorado River; east = BLM land</t>
  </si>
  <si>
    <t xml:space="preserve">Scope of investigation</t>
  </si>
  <si>
    <t xml:space="preserve">GJ building sizes</t>
  </si>
  <si>
    <t xml:space="preserve">ESA: 42,000 / 28,000 (vehicle maint.) / 15,000 sq ft</t>
  </si>
  <si>
    <t xml:space="preserve">RPL: 45,000 / 8,200 (vehicle maint.) / 15,600 sq ft</t>
  </si>
  <si>
    <t xml:space="preserve">Vapor intrusion building size</t>
  </si>
  <si>
    <t xml:space="preserve">Grand Junction headcount</t>
  </si>
  <si>
    <t xml:space="preserve">CIM: ~140; EBS: 142</t>
  </si>
  <si>
    <t xml:space="preserve">RPL: ~85 of '310 full-time employees'</t>
  </si>
  <si>
    <t xml:space="preserve">Headcount base</t>
  </si>
  <si>
    <t xml:space="preserve">Workforce composition</t>
  </si>
  <si>
    <t xml:space="preserve">CIM: ~310 field / 55 PM / 60 admin / 30 BD / 30 mgmt</t>
  </si>
  <si>
    <t xml:space="preserve">EBS: 278 tech / 74 drivers / 42 PM / 51 admin / 18 sales / 17 HSE / 5 exec</t>
  </si>
  <si>
    <t xml:space="preserve">EAS: ~340 field / 85 admin / 55 drivers / 5 exec</t>
  </si>
  <si>
    <t xml:space="preserve">Census reliability</t>
  </si>
  <si>
    <t xml:space="preserve">HAZWOPER certification</t>
  </si>
  <si>
    <t xml:space="preserve">CIM: all ~310 field personnel certified</t>
  </si>
  <si>
    <t xml:space="preserve">EBS: ~148 employees certified</t>
  </si>
  <si>
    <t xml:space="preserve">OSHA 1910.120 compliance</t>
  </si>
  <si>
    <t xml:space="preserve">Turnover</t>
  </si>
  <si>
    <t xml:space="preserve">CIM: below industry averages</t>
  </si>
  <si>
    <t xml:space="preserve">EBS: ~19% voluntary</t>
  </si>
  <si>
    <t xml:space="preserve">Workforce stability</t>
  </si>
  <si>
    <t xml:space="preserve">Union status</t>
  </si>
  <si>
    <t xml:space="preserve">CIM: entirely non-unionized</t>
  </si>
  <si>
    <t xml:space="preserve">EBS footnote: NLRB petition Nov 4, 2024 (62 techs)</t>
  </si>
  <si>
    <t xml:space="preserve">Labor</t>
  </si>
  <si>
    <t xml:space="preserve">OSHA citations</t>
  </si>
  <si>
    <t xml:space="preserve">EBS: none in past three years</t>
  </si>
  <si>
    <t xml:space="preserve">LIT: two citations March 2024 ($4,580)</t>
  </si>
  <si>
    <t xml:space="preserve">Safety record / TRIR</t>
  </si>
  <si>
    <t xml:space="preserve">EMR</t>
  </si>
  <si>
    <t xml:space="preserve">EBS: 0.94</t>
  </si>
  <si>
    <t xml:space="preserve">INS: 0.91</t>
  </si>
  <si>
    <t xml:space="preserve">Minor</t>
  </si>
  <si>
    <t xml:space="preserve">WC claims</t>
  </si>
  <si>
    <t xml:space="preserve">INS: Feb 8, 2023, $142,300; '3 claims, all closed'</t>
  </si>
  <si>
    <t xml:space="preserve">LIT: 2022, ~$87,000</t>
  </si>
  <si>
    <t xml:space="preserve">QoE: two OPEN asbestos WC claims (2021, 2022)</t>
  </si>
  <si>
    <t xml:space="preserve">Undisclosed open claims</t>
  </si>
  <si>
    <t xml:space="preserve">Ramirez tender</t>
  </si>
  <si>
    <t xml:space="preserve">LIT: CGL and pollution policy</t>
  </si>
  <si>
    <t xml:space="preserve">INS: CGL and workers' compensation</t>
  </si>
  <si>
    <t xml:space="preserve">Coverage position</t>
  </si>
  <si>
    <t xml:space="preserve">Asbestos insurance</t>
  </si>
  <si>
    <t xml:space="preserve">INS: CGL blanket exclusion; no tail</t>
  </si>
  <si>
    <t xml:space="preserve">LIT: 'asbestos-specific liability insurance'; PLL covers completed ops</t>
  </si>
  <si>
    <t xml:space="preserve">QoE: 'occurrence-based GL and environmental' policies</t>
  </si>
  <si>
    <t xml:space="preserve">Long-tail coverage</t>
  </si>
  <si>
    <t xml:space="preserve">Asbestos footprint</t>
  </si>
  <si>
    <t xml:space="preserve">LIT: ~145 sites in CO/UT/WY</t>
  </si>
  <si>
    <t xml:space="preserve">QoE: CO/UT/WY/MT</t>
  </si>
  <si>
    <t xml:space="preserve">Scope of tail</t>
  </si>
  <si>
    <t xml:space="preserve">CFO start date</t>
  </si>
  <si>
    <t xml:space="preserve">CIM / ORG: 2016</t>
  </si>
  <si>
    <t xml:space="preserve">EAS: March 2020 agreement / joined March 2020</t>
  </si>
  <si>
    <t xml:space="preserve">QoE: agreement June 15, 2019</t>
  </si>
  <si>
    <t xml:space="preserve">Management credibility</t>
  </si>
  <si>
    <t xml:space="preserve">VP Ops start date</t>
  </si>
  <si>
    <t xml:space="preserve">CIM: 15+ years tenure</t>
  </si>
  <si>
    <t xml:space="preserve">ORG: 2013</t>
  </si>
  <si>
    <t xml:space="preserve">EAS: joined 2016</t>
  </si>
  <si>
    <t xml:space="preserve">VP BD start date</t>
  </si>
  <si>
    <t xml:space="preserve">ORG: 2018</t>
  </si>
  <si>
    <t xml:space="preserve">EAS: June 1, 2019</t>
  </si>
  <si>
    <t xml:space="preserve">EBS: hired Feb 2024 (new position)</t>
  </si>
  <si>
    <t xml:space="preserve">Executive bonus targets</t>
  </si>
  <si>
    <t xml:space="preserve">EAS: 50% / 50% / 40% / 35% / 35%</t>
  </si>
  <si>
    <t xml:space="preserve">QoE: 25% / 25% / 25% / 20% / 20%</t>
  </si>
  <si>
    <t xml:space="preserve">Comp normalization; severance</t>
  </si>
  <si>
    <t xml:space="preserve">CoC severance trigger</t>
  </si>
  <si>
    <t xml:space="preserve">EAS: single (Calloways) / double (others)</t>
  </si>
  <si>
    <t xml:space="preserve">QoE: all five triggered by CoC; Calloway agreements amended March 2022</t>
  </si>
  <si>
    <t xml:space="preserve">Transaction expense sizing</t>
  </si>
  <si>
    <t xml:space="preserve">Credit agreement date</t>
  </si>
  <si>
    <t xml:space="preserve">CAS: January 17, 2023</t>
  </si>
  <si>
    <t xml:space="preserve">ORG: September 14, 2021</t>
  </si>
  <si>
    <t xml:space="preserve">CAS: Pinnacle joinder Mar 15, 2022 'prior to' closing date</t>
  </si>
  <si>
    <t xml:space="preserve">Documentation integrity</t>
  </si>
  <si>
    <t xml:space="preserve">Leverage ratio</t>
  </si>
  <si>
    <t xml:space="preserve">CIM: 1.70x, 'well within covenant'</t>
  </si>
  <si>
    <t xml:space="preserve">CAS: 2.10x under bank definition</t>
  </si>
  <si>
    <t xml:space="preserve">Covenant headroom overstated</t>
  </si>
  <si>
    <t xml:space="preserve">Borrower principal office</t>
  </si>
  <si>
    <t xml:space="preserve">CAS: Denver, Colorado</t>
  </si>
  <si>
    <t xml:space="preserve">All other docs: Grand Junction</t>
  </si>
  <si>
    <t xml:space="preserve">Facility list</t>
  </si>
  <si>
    <t xml:space="preserve">EBS: Denver (1600 Wewatta), Boise (7830 W Fairview), Colorado Springs, Rock Springs (545 Gateway), Pocatello, Helena</t>
  </si>
  <si>
    <t xml:space="preserve">RPL: Denver (4500 Holly), Boise (7755 Emerald), Pueblo, Rock Springs (1890 Gateway), Missoula, Cheyenne</t>
  </si>
  <si>
    <t xml:space="preserve">CIM: 1 owned + 10 leased</t>
  </si>
  <si>
    <t xml:space="preserve">Undisclosed locations / leases</t>
  </si>
  <si>
    <t xml:space="preserve">Pinnacle integration</t>
  </si>
  <si>
    <t xml:space="preserve">CIM: substantially complete</t>
  </si>
  <si>
    <t xml:space="preserve">QoE: integration costs FY22-FY24</t>
  </si>
  <si>
    <t xml:space="preserve">ORG: dormant since Q3 2022 but holds SLC permit and lease</t>
  </si>
  <si>
    <t xml:space="preserve">Add-back validity; permit</t>
  </si>
  <si>
    <t xml:space="preserve">ERP / RidgeTrack</t>
  </si>
  <si>
    <t xml:space="preserve">CIM: ERP fully operational; no further spend</t>
  </si>
  <si>
    <t xml:space="preserve">QoE: RidgeTrack Phase 2 completes Q2 FY2025; Infor fees</t>
  </si>
  <si>
    <t xml:space="preserve">Add-back validity; IP ownership</t>
  </si>
  <si>
    <t xml:space="preserve">Fleet</t>
  </si>
  <si>
    <t xml:space="preserve">QoE: 85 units (55 trucks, 15 trailers, 15 heavy equipment)</t>
  </si>
  <si>
    <t xml:space="preserve">INS: 87 vehicles (34 haz transport, 53 light-duty)</t>
  </si>
  <si>
    <t xml:space="preserve">Insurance scheduling</t>
  </si>
  <si>
    <t xml:space="preserve">NDA date</t>
  </si>
  <si>
    <t xml:space="preserve">LOI: September 12, 2024</t>
  </si>
  <si>
    <t xml:space="preserve">RPL / QoE: October 15, 2024</t>
  </si>
  <si>
    <t xml:space="preserve">EBS: October 28, 2024; LIT: 'October 2024'</t>
  </si>
  <si>
    <t xml:space="preserve">Minor / process</t>
  </si>
  <si>
    <t xml:space="preserve">Type</t>
  </si>
  <si>
    <t xml:space="preserve">Counterparty</t>
  </si>
  <si>
    <t xml:space="preserve">Provision / Issue</t>
  </si>
  <si>
    <t xml:space="preserve">Action Required</t>
  </si>
  <si>
    <t xml:space="preserve">Timing</t>
  </si>
  <si>
    <t xml:space="preserve">Source</t>
  </si>
  <si>
    <t xml:space="preserve">Lender</t>
  </si>
  <si>
    <t xml:space="preserve">High Plains National Bank</t>
  </si>
  <si>
    <t xml:space="preserve">CoC = immediate EoD; mandatory prepayment within 5 BD; no waiver mechanism</t>
  </si>
  <si>
    <t xml:space="preserve">Payoff letter; lien releases (mortgage, IP, UCC, DACAs, lease collateral assignments); LC cash collateral at 105%</t>
  </si>
  <si>
    <t xml:space="preserve">Pre-closing</t>
  </si>
  <si>
    <t xml:space="preserve">CAS s.8-9</t>
  </si>
  <si>
    <t xml:space="preserve">Government customer</t>
  </si>
  <si>
    <t xml:space="preserve">U.S. DOE Contracting Officer (DE-EM-0005523)</t>
  </si>
  <si>
    <t xml:space="preserve">Clause H-12: written notice within 30 days of change in ownership/control; failure may be grounds for default termination</t>
  </si>
  <si>
    <t xml:space="preserve">Notice; novation analysis (FAR 42.12); size recertification if applicable</t>
  </si>
  <si>
    <t xml:space="preserve">At/after closing (within 30 days)</t>
  </si>
  <si>
    <t xml:space="preserve">Customer</t>
  </si>
  <si>
    <t xml:space="preserve">Intermountain Health Systems</t>
  </si>
  <si>
    <t xml:space="preserve">Consent to assignment; 60-day ADVANCE written notice of CoC; renewal decision due Feb 2025</t>
  </si>
  <si>
    <t xml:space="preserve">Notice &gt;=60 days before closing; renewal</t>
  </si>
  <si>
    <t xml:space="preserve">Pre-signing/closing</t>
  </si>
  <si>
    <t xml:space="preserve">CCS row 5</t>
  </si>
  <si>
    <t xml:space="preserve">Rocky Mountain Pipeline Systems</t>
  </si>
  <si>
    <t xml:space="preserve">CoC triggers 30-day notification and consent period</t>
  </si>
  <si>
    <t xml:space="preserve">Consent</t>
  </si>
  <si>
    <t xml:space="preserve">CCS row 9</t>
  </si>
  <si>
    <t xml:space="preserve">Summit County, Utah</t>
  </si>
  <si>
    <t xml:space="preserve">County board approval for any assignment or change of control</t>
  </si>
  <si>
    <t xml:space="preserve">Board approval</t>
  </si>
  <si>
    <t xml:space="preserve">CCS row 15</t>
  </si>
  <si>
    <t xml:space="preserve">Utah DEQ</t>
  </si>
  <si>
    <t xml:space="preserve">Notice of change in ownership within 30 days; state may terminate if qualifications affected</t>
  </si>
  <si>
    <t xml:space="preserve">Notice</t>
  </si>
  <si>
    <t xml:space="preserve">Within 30 days</t>
  </si>
  <si>
    <t xml:space="preserve">CCS row 8</t>
  </si>
  <si>
    <t xml:space="preserve">Colorado DOT</t>
  </si>
  <si>
    <t xml:space="preserve">Notification of change in ownership; consent for assignment</t>
  </si>
  <si>
    <t xml:space="preserve">At closing</t>
  </si>
  <si>
    <t xml:space="preserve">CCS row 12</t>
  </si>
  <si>
    <t xml:space="preserve">Western Slope Municipal Water District</t>
  </si>
  <si>
    <t xml:space="preserve">Written notice of change in ownership</t>
  </si>
  <si>
    <t xml:space="preserve">CCS row 3</t>
  </si>
  <si>
    <t xml:space="preserve">Frontier Exploration &amp; Production</t>
  </si>
  <si>
    <t xml:space="preserve">CoC notification within 30 days; consent for assignment</t>
  </si>
  <si>
    <t xml:space="preserve">CCS row 16</t>
  </si>
  <si>
    <t xml:space="preserve">Bridger Valley Ranches; Teton Steel; Elk Mountain Wind</t>
  </si>
  <si>
    <t xml:space="preserve">Consent required for assignment (confirm whether CoC captured)</t>
  </si>
  <si>
    <t xml:space="preserve">Review; consent if required</t>
  </si>
  <si>
    <t xml:space="preserve">CCS rows 11, 14, 18</t>
  </si>
  <si>
    <t xml:space="preserve">Landlord</t>
  </si>
  <si>
    <t xml:space="preserve">Wasatch Industrial Properties (SLC)</t>
  </si>
  <si>
    <t xml:space="preserve">Explicit CoC = assignment; 2022 Pinnacle CoC never consented</t>
  </si>
  <si>
    <t xml:space="preserve">Consent (2022 and current deal) + estoppel</t>
  </si>
  <si>
    <t xml:space="preserve">Closing condition</t>
  </si>
  <si>
    <t xml:space="preserve">RPL s.4.1</t>
  </si>
  <si>
    <t xml:space="preserve">Northgate Commercial Realty (Ogden)</t>
  </si>
  <si>
    <t xml:space="preserve">Explicit CoC provision</t>
  </si>
  <si>
    <t xml:space="preserve">Consent + estoppel</t>
  </si>
  <si>
    <t xml:space="preserve">RPL s.4.2, s.6</t>
  </si>
  <si>
    <t xml:space="preserve">Platte River (Casper); Yellowstone (Billings); Mile High (Denver); Sweetwater (Rock Springs); Frontier Yards (Cheyenne)</t>
  </si>
  <si>
    <t xml:space="preserve">General assignment consent; CoC applicability to be confirmed</t>
  </si>
  <si>
    <t xml:space="preserve">Consent/estoppel for material facilities</t>
  </si>
  <si>
    <t xml:space="preserve">RPL s.6</t>
  </si>
  <si>
    <t xml:space="preserve">Arkansas Valley Land Co. (Pueblo)</t>
  </si>
  <si>
    <t xml:space="preserve">Lease expires Apr 30, 2025 (target closing)</t>
  </si>
  <si>
    <t xml:space="preserve">Renewal</t>
  </si>
  <si>
    <t xml:space="preserve">RPL s.4.4</t>
  </si>
  <si>
    <t xml:space="preserve">Regulator</t>
  </si>
  <si>
    <t xml:space="preserve">Utah Division of Waste Management (UTH-0441)</t>
  </si>
  <si>
    <t xml:space="preserve">Permit in dormant Pinnacle's name; transfer pending since 2022</t>
  </si>
  <si>
    <t xml:space="preserve">Approval of transfer/modification or written status confirmation</t>
  </si>
  <si>
    <t xml:space="preserve">EPS s.2.2</t>
  </si>
  <si>
    <t xml:space="preserve">Wyoming DEQ (WY-HW-2019-033)</t>
  </si>
  <si>
    <t xml:space="preserve">Permit expired Nov 30, 2024; renewal filed Oct 15, 2024</t>
  </si>
  <si>
    <t xml:space="preserve">Renewed permit or written confirmation of continued authority</t>
  </si>
  <si>
    <t xml:space="preserve">EPS s.2.4</t>
  </si>
  <si>
    <t xml:space="preserve">CDPHE (COD-098-2761; APEN; CDPS); Montana DEQ (MT-HW-2022-011); Utah (UTH-0587); EPA/DOT registrations</t>
  </si>
  <si>
    <t xml:space="preserve">Confirm whether indirect change of control requires notice or financial-assurance updates</t>
  </si>
  <si>
    <t xml:space="preserve">Notices as required</t>
  </si>
  <si>
    <t xml:space="preserve">At/after closing</t>
  </si>
  <si>
    <t xml:space="preserve">EPS ss.2-4</t>
  </si>
  <si>
    <t xml:space="preserve">Insurer</t>
  </si>
  <si>
    <t xml:space="preserve">Frontier Specialty Insurance Group</t>
  </si>
  <si>
    <t xml:space="preserve">CoC affects new exposures and claims-made PLL reporting/tail</t>
  </si>
  <si>
    <t xml:space="preserve">Notice; tail or replacement program</t>
  </si>
  <si>
    <t xml:space="preserve">INS s.8</t>
  </si>
  <si>
    <t xml:space="preserve">Seller-side</t>
  </si>
  <si>
    <t xml:space="preserve">Calloway Family Trust (trustee/beneficiaries)</t>
  </si>
  <si>
    <t xml:space="preserve">Trust instrument contains consent requirements</t>
  </si>
  <si>
    <t xml:space="preserve">Trustee certificate; consents; opinion</t>
  </si>
  <si>
    <t xml:space="preserve">Signing</t>
  </si>
  <si>
    <t xml:space="preserve">ORG s.3.5</t>
  </si>
  <si>
    <t xml:space="preserve">Executives</t>
  </si>
  <si>
    <t xml:space="preserve">D. Calloway, J. Calloway (single trigger); Engel, Dillon, Oakes</t>
  </si>
  <si>
    <t xml:space="preserve">CoC severance $3.775M</t>
  </si>
  <si>
    <t xml:space="preserve">Waivers/acknowledgments or treat as Transaction Expenses</t>
  </si>
  <si>
    <t xml:space="preserve">EAS s.8</t>
  </si>
  <si>
    <t xml:space="preserve">Priority</t>
  </si>
  <si>
    <t xml:space="preserve">Workstream</t>
  </si>
  <si>
    <t xml:space="preserve">Request</t>
  </si>
  <si>
    <t xml:space="preserve">Financial</t>
  </si>
  <si>
    <t xml:space="preserve">Audited financial statements and audit reports FY2020-FY2024; engagement and management letters (Plante Moran / Hansen &amp; Whitfield)</t>
  </si>
  <si>
    <t xml:space="preserve">Requested</t>
  </si>
  <si>
    <t xml:space="preserve">GL-level revenue by customer FY2022-FY2024 reconciled to both customer schedules; AR aging; cash receipts; customer master file</t>
  </si>
  <si>
    <t xml:space="preserve">Reconciled EBITDA bridge FY2022-FY2024 to trial balance, incl. D&amp;A; explanation of $1.0M CIM vs QoE gap</t>
  </si>
  <si>
    <t xml:space="preserve">Clearwater settlement agreement and receipt; GL entries for $1.2M; Harper docket</t>
  </si>
  <si>
    <t xml:space="preserve">Government</t>
  </si>
  <si>
    <t xml:space="preserve">DOE IDIQ DE-EM-0005523: basic award, all modifications, all task orders, funding/obligation records, invoices and receipts, CPARS; any other DOE contracts</t>
  </si>
  <si>
    <t xml:space="preserve">Full Phase II ESA (EEC-2019-0347) and 2018 Phase I; all post-2019 groundwater data; UST closure file; accrual support</t>
  </si>
  <si>
    <t xml:space="preserve">CDPHE NOV CDPHE-HW-2024-0093, inspection report, RES response (Sept 5, 2024) and settlement correspondence</t>
  </si>
  <si>
    <t xml:space="preserve">Wyoming DEQ renewal application, completeness determination and correspondence (WY-HW-2019-033)</t>
  </si>
  <si>
    <t xml:space="preserve">Utah UTH-0441 transfer application and Division correspondence; financial assurance instruments</t>
  </si>
  <si>
    <t xml:space="preserve">Phase I ESAs for all leased operating facilities (SLC, Ogden, Casper, Billings); landlord environmental indemnities; basis for $1.0M non-GJ accrual</t>
  </si>
  <si>
    <t xml:space="preserve">All current and historical (2012-present) policies; carrier loss runs; Ramirez ROR letter; asbestos coverage history</t>
  </si>
  <si>
    <t xml:space="preserve">Debt</t>
  </si>
  <si>
    <t xml:space="preserve">Full credit agreement, First Amendment, security documents (VDR-067-074); all compliance certificates and lender notices; any 2021 facility</t>
  </si>
  <si>
    <t xml:space="preserve">All 10 leases and amendments; Wasatch correspondence (2022, Nov 2024); definitive facility list</t>
  </si>
  <si>
    <t xml:space="preserve">Employment</t>
  </si>
  <si>
    <t xml:space="preserve">Executed employment agreements and amendments (incl. March 2022); bonus plans; 5-year W-2s (280G)</t>
  </si>
  <si>
    <t xml:space="preserve">NLRB petition and filings; any ULP charges; communications with employees</t>
  </si>
  <si>
    <t xml:space="preserve">Safety</t>
  </si>
  <si>
    <t xml:space="preserve">HAZWOPER training records by employee; OSHA 300 logs 2021-2024; March 2024 citations; Sheridan HASP</t>
  </si>
  <si>
    <t xml:space="preserve">Asbestos</t>
  </si>
  <si>
    <t xml:space="preserve">Asbestos project list (145 sites); exposure monitoring; open WC claim files; license surrender records</t>
  </si>
  <si>
    <t xml:space="preserve">Benefits</t>
  </si>
  <si>
    <t xml:space="preserve">401(k) plan document, safe harbor notices, 2023 suspension amendment, testing results, Forms 5500</t>
  </si>
  <si>
    <t xml:space="preserve">FLSA/COMPS demand letter; classification analysis; PTO payout history by state</t>
  </si>
  <si>
    <t xml:space="preserve">Customers</t>
  </si>
  <si>
    <t xml:space="preserve">All top-20 customer contracts (both rosters), amendments and renewal correspondence; Pinnacle contract assignments</t>
  </si>
  <si>
    <t xml:space="preserve">Corporate</t>
  </si>
  <si>
    <t xml:space="preserve">Trust agreement (Doc 10.3); trustee certificate; articles, bylaws, minutes; stock ledger; good standings</t>
  </si>
  <si>
    <t xml:space="preserve">Pinnacle membership interest purchase agreement and disclosure schedules; Pinnacle operating agreement</t>
  </si>
  <si>
    <t xml:space="preserve">Capex / Fleet</t>
  </si>
  <si>
    <t xml:space="preserve">Fixed asset register; DOT inspection records; capital lease schedule; FY2025 capex budget</t>
  </si>
  <si>
    <t xml:space="preserve">IP / IT</t>
  </si>
  <si>
    <t xml:space="preserve">Patent assignments and maintenance status; RidgeTrack ownership and license inventory; Infor agreement; IP assignment agreements</t>
  </si>
  <si>
    <t xml:space="preserve">Federal/state income tax returns (6 years); sales/use and payroll tax filings; audit correspondence; tax provision</t>
  </si>
  <si>
    <t xml:space="preserve">Monthly P&amp;L FY2023-YTD FY2025; FY2025 budget and forecast; backlog by customer; distribution history</t>
  </si>
  <si>
    <t xml:space="preserve">Fully executed LOI and NDA</t>
  </si>
</sst>
</file>

<file path=xl/styles.xml><?xml version="1.0" encoding="utf-8"?>
<styleSheet xmlns="http://schemas.openxmlformats.org/spreadsheetml/2006/main">
  <numFmts count="7">
    <numFmt numFmtId="164" formatCode="General"/>
    <numFmt numFmtId="165" formatCode="_(\$* #,##0_);_(\$* \(#,##0\);_(\$* \-_);_(@_)"/>
    <numFmt numFmtId="166" formatCode="General"/>
    <numFmt numFmtId="167" formatCode="#,##0;\(#,##0\);\-"/>
    <numFmt numFmtId="168" formatCode="0.0%"/>
    <numFmt numFmtId="169" formatCode="0.0\x"/>
    <numFmt numFmtId="170"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Calibri"/>
      <family val="0"/>
      <charset val="1"/>
    </font>
    <font>
      <i val="true"/>
      <sz val="10"/>
      <color rgb="FF595959"/>
      <name val="Calibri"/>
      <family val="0"/>
      <charset val="1"/>
    </font>
    <font>
      <b val="true"/>
      <sz val="10"/>
      <name val="Calibri"/>
      <family val="0"/>
      <charset val="1"/>
    </font>
    <font>
      <sz val="10"/>
      <name val="Calibri"/>
      <family val="0"/>
      <charset val="1"/>
    </font>
    <font>
      <sz val="10"/>
      <color rgb="FF0000FF"/>
      <name val="Calibri"/>
      <family val="0"/>
      <charset val="1"/>
    </font>
    <font>
      <b val="true"/>
      <sz val="10"/>
      <color rgb="FFFFFFFF"/>
      <name val="Calibri"/>
      <family val="0"/>
      <charset val="1"/>
    </font>
    <font>
      <sz val="10"/>
      <color rgb="FF008000"/>
      <name val="Calibri"/>
      <family val="0"/>
      <charset val="1"/>
    </font>
  </fonts>
  <fills count="3">
    <fill>
      <patternFill patternType="none"/>
    </fill>
    <fill>
      <patternFill patternType="gray125"/>
    </fill>
    <fill>
      <patternFill patternType="solid">
        <fgColor rgb="FF1F3864"/>
        <bgColor rgb="FF33333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9" fontId="8"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b val="1"/>
        <color rgb="FFFFFFFF"/>
      </font>
      <fill>
        <patternFill>
          <bgColor rgb="FFC00000"/>
        </patternFill>
      </fill>
    </dxf>
    <dxf>
      <font>
        <b val="1"/>
        <color rgb="FFFFFFFF"/>
      </font>
      <fill>
        <patternFill>
          <bgColor rgb="FFED7D31"/>
        </patternFill>
      </fill>
    </dxf>
    <dxf>
      <font>
        <b val="1"/>
        <color rgb="FF000000"/>
      </font>
      <fill>
        <patternFill>
          <bgColor rgb="FFFFC000"/>
        </patternFill>
      </fill>
    </dxf>
    <dxf>
      <font>
        <b val="1"/>
        <color rgb="FF000000"/>
      </font>
      <fill>
        <patternFill>
          <bgColor rgb="FF70AD47"/>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70AD47"/>
          <bgColor rgb="FF000000"/>
        </patternFill>
      </fill>
    </dxf>
    <dxf>
      <fill>
        <patternFill patternType="solid">
          <fgColor rgb="FFC00000"/>
          <bgColor rgb="FF000000"/>
        </patternFill>
      </fill>
    </dxf>
    <dxf>
      <fill>
        <patternFill patternType="solid">
          <fgColor rgb="FFED7D31"/>
          <bgColor rgb="FF000000"/>
        </patternFill>
      </fill>
    </dxf>
    <dxf>
      <fill>
        <patternFill patternType="solid">
          <fgColor rgb="FFFFC000"/>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59595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0"/>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5" min="2" style="0" width="18"/>
    <col collapsed="false" customWidth="true" hidden="false" outlineLevel="0" max="6" min="6" style="0" width="30"/>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row>
    <row r="4" customFormat="false" ht="15" hidden="false" customHeight="false" outlineLevel="0" collapsed="false">
      <c r="A4" s="3" t="s">
        <v>2</v>
      </c>
    </row>
    <row r="5" customFormat="false" ht="15" hidden="false" customHeight="false" outlineLevel="0" collapsed="false">
      <c r="A5" s="4" t="s">
        <v>3</v>
      </c>
      <c r="B5" s="5" t="n">
        <v>182000000</v>
      </c>
    </row>
    <row r="6" customFormat="false" ht="15" hidden="false" customHeight="false" outlineLevel="0" collapsed="false">
      <c r="A6" s="4" t="s">
        <v>4</v>
      </c>
      <c r="B6" s="5" t="n">
        <v>205000000</v>
      </c>
    </row>
    <row r="7" customFormat="false" ht="15" hidden="false" customHeight="false" outlineLevel="0" collapsed="false">
      <c r="A7" s="4" t="s">
        <v>5</v>
      </c>
      <c r="B7" s="5" t="n">
        <v>22800000</v>
      </c>
    </row>
    <row r="8" customFormat="false" ht="15" hidden="false" customHeight="false" outlineLevel="0" collapsed="false">
      <c r="A8" s="4" t="s">
        <v>6</v>
      </c>
      <c r="B8" s="4" t="s">
        <v>7</v>
      </c>
    </row>
    <row r="9" customFormat="false" ht="15" hidden="false" customHeight="false" outlineLevel="0" collapsed="false">
      <c r="A9" s="4" t="s">
        <v>8</v>
      </c>
      <c r="B9" s="6" t="n">
        <f aca="false">B5*10%</f>
        <v>18200000</v>
      </c>
    </row>
    <row r="10" customFormat="false" ht="15" hidden="false" customHeight="false" outlineLevel="0" collapsed="false">
      <c r="A10" s="4" t="s">
        <v>9</v>
      </c>
      <c r="B10" s="6" t="n">
        <f aca="false">B6*10%</f>
        <v>20500000</v>
      </c>
    </row>
    <row r="11" customFormat="false" ht="15" hidden="false" customHeight="false" outlineLevel="0" collapsed="false">
      <c r="A11" s="4" t="s">
        <v>10</v>
      </c>
      <c r="B11" s="5" t="n">
        <v>38700000</v>
      </c>
    </row>
    <row r="12" customFormat="false" ht="23.85" hidden="false" customHeight="false" outlineLevel="0" collapsed="false">
      <c r="A12" s="4" t="s">
        <v>11</v>
      </c>
      <c r="B12" s="4" t="s">
        <v>12</v>
      </c>
    </row>
    <row r="13" customFormat="false" ht="15" hidden="false" customHeight="false" outlineLevel="0" collapsed="false">
      <c r="A13" s="4" t="s">
        <v>13</v>
      </c>
      <c r="B13" s="4" t="s">
        <v>14</v>
      </c>
    </row>
    <row r="15" customFormat="false" ht="15" hidden="false" customHeight="false" outlineLevel="0" collapsed="false">
      <c r="A15" s="3" t="s">
        <v>15</v>
      </c>
    </row>
    <row r="16" customFormat="false" ht="15" hidden="false" customHeight="false" outlineLevel="0" collapsed="false">
      <c r="A16" s="7" t="s">
        <v>16</v>
      </c>
      <c r="B16" s="7" t="s">
        <v>17</v>
      </c>
      <c r="C16" s="7" t="s">
        <v>18</v>
      </c>
    </row>
    <row r="17" customFormat="false" ht="15" hidden="false" customHeight="true" outlineLevel="0" collapsed="false">
      <c r="A17" s="4" t="s">
        <v>19</v>
      </c>
      <c r="B17" s="8" t="n">
        <f aca="false">COUNTIF('Red Flag Tracker'!$D$2:$D$36,A17)</f>
        <v>7</v>
      </c>
      <c r="C17" s="9" t="s">
        <v>20</v>
      </c>
      <c r="D17" s="9"/>
      <c r="E17" s="9"/>
      <c r="F17" s="9"/>
    </row>
    <row r="18" customFormat="false" ht="15" hidden="false" customHeight="true" outlineLevel="0" collapsed="false">
      <c r="A18" s="4" t="s">
        <v>21</v>
      </c>
      <c r="B18" s="8" t="n">
        <f aca="false">COUNTIF('Red Flag Tracker'!$D$2:$D$36,A18)</f>
        <v>15</v>
      </c>
      <c r="C18" s="9" t="s">
        <v>22</v>
      </c>
      <c r="D18" s="9"/>
      <c r="E18" s="9"/>
      <c r="F18" s="9"/>
    </row>
    <row r="19" customFormat="false" ht="15" hidden="false" customHeight="true" outlineLevel="0" collapsed="false">
      <c r="A19" s="4" t="s">
        <v>23</v>
      </c>
      <c r="B19" s="8" t="n">
        <f aca="false">COUNTIF('Red Flag Tracker'!$D$2:$D$36,A19)</f>
        <v>12</v>
      </c>
      <c r="C19" s="9" t="s">
        <v>24</v>
      </c>
      <c r="D19" s="9"/>
      <c r="E19" s="9"/>
      <c r="F19" s="9"/>
    </row>
    <row r="20" customFormat="false" ht="15" hidden="false" customHeight="true" outlineLevel="0" collapsed="false">
      <c r="A20" s="4" t="s">
        <v>25</v>
      </c>
      <c r="B20" s="8" t="n">
        <f aca="false">COUNTIF('Red Flag Tracker'!$D$2:$D$36,A20)</f>
        <v>1</v>
      </c>
      <c r="C20" s="9" t="s">
        <v>26</v>
      </c>
      <c r="D20" s="9"/>
      <c r="E20" s="9"/>
      <c r="F20" s="9"/>
    </row>
    <row r="21" customFormat="false" ht="15" hidden="false" customHeight="false" outlineLevel="0" collapsed="false">
      <c r="A21" s="10" t="s">
        <v>27</v>
      </c>
      <c r="B21" s="11" t="n">
        <f aca="false">SUM(B17:B20)</f>
        <v>35</v>
      </c>
    </row>
    <row r="24" customFormat="false" ht="15" hidden="false" customHeight="false" outlineLevel="0" collapsed="false">
      <c r="A24" s="3" t="s">
        <v>28</v>
      </c>
    </row>
    <row r="25" customFormat="false" ht="15" hidden="false" customHeight="false" outlineLevel="0" collapsed="false">
      <c r="A25" s="7" t="s">
        <v>29</v>
      </c>
      <c r="B25" s="7" t="s">
        <v>30</v>
      </c>
      <c r="C25" s="7" t="s">
        <v>31</v>
      </c>
      <c r="D25" s="7" t="s">
        <v>32</v>
      </c>
      <c r="E25" s="7" t="s">
        <v>33</v>
      </c>
      <c r="F25" s="7" t="s">
        <v>34</v>
      </c>
    </row>
    <row r="26" customFormat="false" ht="15" hidden="false" customHeight="false" outlineLevel="0" collapsed="false">
      <c r="A26" s="12" t="str">
        <f aca="false">'EBITDA &amp; Valuation'!A32</f>
        <v>LOI basis (CIM Adjusted EBITDA)</v>
      </c>
      <c r="B26" s="13" t="n">
        <f aca="false">'EBITDA &amp; Valuation'!B32</f>
        <v>22800</v>
      </c>
      <c r="C26" s="13" t="n">
        <f aca="false">'EBITDA &amp; Valuation'!C32</f>
        <v>182400</v>
      </c>
      <c r="D26" s="13" t="n">
        <f aca="false">'EBITDA &amp; Valuation'!D32</f>
        <v>205200</v>
      </c>
      <c r="E26" s="13" t="n">
        <f aca="false">'EBITDA &amp; Valuation'!E32</f>
        <v>400</v>
      </c>
      <c r="F26" s="13" t="n">
        <f aca="false">'EBITDA &amp; Valuation'!F32</f>
        <v>200</v>
      </c>
    </row>
    <row r="27" customFormat="false" ht="15" hidden="false" customHeight="false" outlineLevel="0" collapsed="false">
      <c r="A27" s="12" t="str">
        <f aca="false">'EBITDA &amp; Valuation'!A33</f>
        <v>Diligence base case</v>
      </c>
      <c r="B27" s="13" t="n">
        <f aca="false">'EBITDA &amp; Valuation'!B33</f>
        <v>21150</v>
      </c>
      <c r="C27" s="13" t="n">
        <f aca="false">'EBITDA &amp; Valuation'!C33</f>
        <v>169200</v>
      </c>
      <c r="D27" s="13" t="n">
        <f aca="false">'EBITDA &amp; Valuation'!D33</f>
        <v>190350</v>
      </c>
      <c r="E27" s="13" t="n">
        <f aca="false">'EBITDA &amp; Valuation'!E33</f>
        <v>-12800</v>
      </c>
      <c r="F27" s="13" t="n">
        <f aca="false">'EBITDA &amp; Valuation'!F33</f>
        <v>-14650</v>
      </c>
    </row>
    <row r="28" customFormat="false" ht="15" hidden="false" customHeight="false" outlineLevel="0" collapsed="false">
      <c r="A28" s="12" t="str">
        <f aca="false">'EBITDA &amp; Valuation'!A34</f>
        <v>Diligence downside case</v>
      </c>
      <c r="B28" s="13" t="n">
        <f aca="false">'EBITDA &amp; Valuation'!B34</f>
        <v>19000</v>
      </c>
      <c r="C28" s="13" t="n">
        <f aca="false">'EBITDA &amp; Valuation'!C34</f>
        <v>152000</v>
      </c>
      <c r="D28" s="13" t="n">
        <f aca="false">'EBITDA &amp; Valuation'!D34</f>
        <v>171000</v>
      </c>
      <c r="E28" s="13" t="n">
        <f aca="false">'EBITDA &amp; Valuation'!E34</f>
        <v>-30000</v>
      </c>
      <c r="F28" s="13" t="n">
        <f aca="false">'EBITDA &amp; Valuation'!F34</f>
        <v>-34000</v>
      </c>
    </row>
    <row r="29" customFormat="false" ht="15" hidden="false" customHeight="false" outlineLevel="0" collapsed="false">
      <c r="A29" s="12" t="str">
        <f aca="false">'EBITDA &amp; Valuation'!A35</f>
        <v>Base case less DOE ceiling impact (run-rate)</v>
      </c>
      <c r="B29" s="13" t="n">
        <f aca="false">'EBITDA &amp; Valuation'!B35</f>
        <v>16673</v>
      </c>
      <c r="C29" s="13" t="n">
        <f aca="false">'EBITDA &amp; Valuation'!C35</f>
        <v>133384</v>
      </c>
      <c r="D29" s="13" t="n">
        <f aca="false">'EBITDA &amp; Valuation'!D35</f>
        <v>150057</v>
      </c>
      <c r="E29" s="13" t="n">
        <f aca="false">'EBITDA &amp; Valuation'!E35</f>
        <v>-48616</v>
      </c>
      <c r="F29" s="13" t="n">
        <f aca="false">'EBITDA &amp; Valuation'!F35</f>
        <v>-54943</v>
      </c>
    </row>
    <row r="30" customFormat="false" ht="15" hidden="false" customHeight="false" outlineLevel="0" collapsed="false">
      <c r="A30" s="12" t="str">
        <f aca="false">'EBITDA &amp; Valuation'!A36</f>
        <v>Bank 'Consolidated EBITDA' (reference)</v>
      </c>
      <c r="B30" s="13" t="n">
        <f aca="false">'EBITDA &amp; Valuation'!B36</f>
        <v>18400</v>
      </c>
      <c r="C30" s="13" t="n">
        <f aca="false">'EBITDA &amp; Valuation'!C36</f>
        <v>147200</v>
      </c>
      <c r="D30" s="13" t="n">
        <f aca="false">'EBITDA &amp; Valuation'!D36</f>
        <v>165600</v>
      </c>
      <c r="E30" s="13" t="n">
        <f aca="false">'EBITDA &amp; Valuation'!E36</f>
        <v>-34800</v>
      </c>
      <c r="F30" s="13" t="n">
        <f aca="false">'EBITDA &amp; Valuation'!F36</f>
        <v>-39400</v>
      </c>
    </row>
    <row r="33" customFormat="false" ht="15" hidden="false" customHeight="false" outlineLevel="0" collapsed="false">
      <c r="A33" s="3" t="s">
        <v>35</v>
      </c>
    </row>
    <row r="34" customFormat="false" ht="15" hidden="false" customHeight="false" outlineLevel="0" collapsed="false">
      <c r="A34" s="7" t="s">
        <v>36</v>
      </c>
      <c r="B34" s="7" t="s">
        <v>37</v>
      </c>
      <c r="C34" s="7" t="s">
        <v>38</v>
      </c>
    </row>
    <row r="35" customFormat="false" ht="39.75" hidden="false" customHeight="true" outlineLevel="0" collapsed="false">
      <c r="A35" s="4" t="s">
        <v>39</v>
      </c>
      <c r="B35" s="14" t="n">
        <f aca="false">'Exposure Quantification'!C21</f>
        <v>7019487.5</v>
      </c>
      <c r="C35" s="14" t="n">
        <f aca="false">'Exposure Quantification'!D21</f>
        <v>20377768.75</v>
      </c>
    </row>
    <row r="36" customFormat="false" ht="15" hidden="false" customHeight="false" outlineLevel="0" collapsed="false">
      <c r="A36" s="4" t="s">
        <v>40</v>
      </c>
      <c r="B36" s="15" t="n">
        <f aca="false">B35/B9</f>
        <v>0.385686126373626</v>
      </c>
      <c r="C36" s="15" t="n">
        <f aca="false">C35/B10</f>
        <v>0.9940375</v>
      </c>
    </row>
    <row r="40" customFormat="false" ht="15" hidden="false" customHeight="false" outlineLevel="0" collapsed="false">
      <c r="A40" s="16" t="s">
        <v>41</v>
      </c>
    </row>
  </sheetData>
  <mergeCells count="5">
    <mergeCell ref="A2:F2"/>
    <mergeCell ref="C17:F17"/>
    <mergeCell ref="C18:F18"/>
    <mergeCell ref="C19:F19"/>
    <mergeCell ref="C20:F20"/>
  </mergeCells>
  <conditionalFormatting sqref="A17:A20">
    <cfRule type="cellIs" priority="2" operator="equal" aboveAverage="0" equalAverage="0" bottom="0" percent="0" rank="0" text="" dxfId="0">
      <formula>"Critical"</formula>
    </cfRule>
    <cfRule type="cellIs" priority="3" operator="equal" aboveAverage="0" equalAverage="0" bottom="0" percent="0" rank="0" text="" dxfId="1">
      <formula>"High"</formula>
    </cfRule>
    <cfRule type="cellIs" priority="4" operator="equal" aboveAverage="0" equalAverage="0" bottom="0" percent="0" rank="0" text="" dxfId="2">
      <formula>"Medium"</formula>
    </cfRule>
    <cfRule type="cellIs" priority="5" operator="equal" aboveAverage="0" equalAverage="0" bottom="0" percent="0" rank="0" text="" dxfId="3">
      <formula>"Low"</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34"/>
    <col collapsed="false" customWidth="true" hidden="false" outlineLevel="0" max="4" min="4" style="0" width="11"/>
    <col collapsed="false" customWidth="true" hidden="false" outlineLevel="0" max="5" min="5" style="0" width="80"/>
    <col collapsed="false" customWidth="true" hidden="false" outlineLevel="0" max="6" min="6" style="0" width="34"/>
    <col collapsed="false" customWidth="true" hidden="false" outlineLevel="0" max="7" min="7" style="0" width="38"/>
    <col collapsed="false" customWidth="true" hidden="false" outlineLevel="0" max="9" min="8" style="0" width="15"/>
    <col collapsed="false" customWidth="true" hidden="false" outlineLevel="0" max="10" min="10" style="0" width="22"/>
    <col collapsed="false" customWidth="true" hidden="false" outlineLevel="0" max="11" min="11" style="0" width="70"/>
    <col collapsed="false" customWidth="true" hidden="false" outlineLevel="0" max="12" min="12" style="0" width="45"/>
    <col collapsed="false" customWidth="true" hidden="false" outlineLevel="0" max="13" min="13" style="0" width="16"/>
    <col collapsed="false" customWidth="true" hidden="false" outlineLevel="0" max="14" min="14" style="0" width="12"/>
  </cols>
  <sheetData>
    <row r="1" customFormat="false" ht="23.85" hidden="false" customHeight="false" outlineLevel="0" collapsed="false">
      <c r="A1" s="7" t="s">
        <v>42</v>
      </c>
      <c r="B1" s="7" t="s">
        <v>43</v>
      </c>
      <c r="C1" s="7" t="s">
        <v>44</v>
      </c>
      <c r="D1" s="7" t="s">
        <v>16</v>
      </c>
      <c r="E1" s="7" t="s">
        <v>45</v>
      </c>
      <c r="F1" s="7" t="s">
        <v>46</v>
      </c>
      <c r="G1" s="7" t="s">
        <v>47</v>
      </c>
      <c r="H1" s="7" t="s">
        <v>48</v>
      </c>
      <c r="I1" s="7" t="s">
        <v>49</v>
      </c>
      <c r="J1" s="7" t="s">
        <v>50</v>
      </c>
      <c r="K1" s="7" t="s">
        <v>51</v>
      </c>
      <c r="L1" s="7" t="s">
        <v>52</v>
      </c>
      <c r="M1" s="7" t="s">
        <v>53</v>
      </c>
      <c r="N1" s="7" t="s">
        <v>54</v>
      </c>
    </row>
    <row r="2" customFormat="false" ht="229.5" hidden="false" customHeight="true" outlineLevel="0" collapsed="false">
      <c r="A2" s="8" t="s">
        <v>55</v>
      </c>
      <c r="B2" s="4" t="s">
        <v>56</v>
      </c>
      <c r="C2" s="4" t="s">
        <v>57</v>
      </c>
      <c r="D2" s="17" t="s">
        <v>19</v>
      </c>
      <c r="E2" s="4" t="s">
        <v>58</v>
      </c>
      <c r="F2" s="4" t="s">
        <v>59</v>
      </c>
      <c r="G2" s="4" t="s">
        <v>60</v>
      </c>
      <c r="H2" s="18" t="n">
        <v>1830000</v>
      </c>
      <c r="I2" s="18" t="n">
        <v>3471000</v>
      </c>
      <c r="J2" s="4" t="s">
        <v>61</v>
      </c>
      <c r="K2" s="4" t="s">
        <v>62</v>
      </c>
      <c r="L2" s="4" t="s">
        <v>63</v>
      </c>
      <c r="M2" s="4" t="s">
        <v>64</v>
      </c>
      <c r="N2" s="17" t="s">
        <v>65</v>
      </c>
    </row>
    <row r="3" customFormat="false" ht="229.5" hidden="false" customHeight="true" outlineLevel="0" collapsed="false">
      <c r="A3" s="8" t="s">
        <v>66</v>
      </c>
      <c r="B3" s="4" t="s">
        <v>67</v>
      </c>
      <c r="C3" s="4" t="s">
        <v>68</v>
      </c>
      <c r="D3" s="17" t="s">
        <v>19</v>
      </c>
      <c r="E3" s="4" t="s">
        <v>69</v>
      </c>
      <c r="F3" s="4" t="s">
        <v>70</v>
      </c>
      <c r="G3" s="4" t="s">
        <v>71</v>
      </c>
      <c r="H3" s="18"/>
      <c r="I3" s="18"/>
      <c r="J3" s="4" t="s">
        <v>72</v>
      </c>
      <c r="K3" s="4" t="s">
        <v>73</v>
      </c>
      <c r="L3" s="4" t="s">
        <v>74</v>
      </c>
      <c r="M3" s="4" t="s">
        <v>75</v>
      </c>
      <c r="N3" s="17" t="s">
        <v>65</v>
      </c>
    </row>
    <row r="4" customFormat="false" ht="229.5" hidden="false" customHeight="true" outlineLevel="0" collapsed="false">
      <c r="A4" s="8" t="s">
        <v>76</v>
      </c>
      <c r="B4" s="4" t="s">
        <v>67</v>
      </c>
      <c r="C4" s="4" t="s">
        <v>77</v>
      </c>
      <c r="D4" s="17" t="s">
        <v>19</v>
      </c>
      <c r="E4" s="4" t="s">
        <v>78</v>
      </c>
      <c r="F4" s="4" t="s">
        <v>79</v>
      </c>
      <c r="G4" s="4" t="s">
        <v>80</v>
      </c>
      <c r="H4" s="18"/>
      <c r="I4" s="18"/>
      <c r="J4" s="4" t="s">
        <v>81</v>
      </c>
      <c r="K4" s="4" t="s">
        <v>82</v>
      </c>
      <c r="L4" s="4" t="s">
        <v>83</v>
      </c>
      <c r="M4" s="4" t="s">
        <v>75</v>
      </c>
      <c r="N4" s="17" t="s">
        <v>65</v>
      </c>
    </row>
    <row r="5" customFormat="false" ht="229.5" hidden="false" customHeight="true" outlineLevel="0" collapsed="false">
      <c r="A5" s="8" t="s">
        <v>84</v>
      </c>
      <c r="B5" s="4" t="s">
        <v>67</v>
      </c>
      <c r="C5" s="4" t="s">
        <v>85</v>
      </c>
      <c r="D5" s="17" t="s">
        <v>19</v>
      </c>
      <c r="E5" s="4" t="s">
        <v>86</v>
      </c>
      <c r="F5" s="4" t="s">
        <v>87</v>
      </c>
      <c r="G5" s="4" t="s">
        <v>88</v>
      </c>
      <c r="H5" s="18"/>
      <c r="I5" s="18"/>
      <c r="J5" s="4" t="s">
        <v>89</v>
      </c>
      <c r="K5" s="4" t="s">
        <v>90</v>
      </c>
      <c r="L5" s="4" t="s">
        <v>91</v>
      </c>
      <c r="M5" s="4" t="s">
        <v>75</v>
      </c>
      <c r="N5" s="17" t="s">
        <v>65</v>
      </c>
    </row>
    <row r="6" customFormat="false" ht="229.5" hidden="false" customHeight="true" outlineLevel="0" collapsed="false">
      <c r="A6" s="8" t="s">
        <v>92</v>
      </c>
      <c r="B6" s="4" t="s">
        <v>67</v>
      </c>
      <c r="C6" s="4" t="s">
        <v>93</v>
      </c>
      <c r="D6" s="17" t="s">
        <v>19</v>
      </c>
      <c r="E6" s="4" t="s">
        <v>94</v>
      </c>
      <c r="F6" s="4" t="s">
        <v>95</v>
      </c>
      <c r="G6" s="4" t="s">
        <v>96</v>
      </c>
      <c r="H6" s="18"/>
      <c r="I6" s="18"/>
      <c r="J6" s="4" t="s">
        <v>97</v>
      </c>
      <c r="K6" s="4" t="s">
        <v>98</v>
      </c>
      <c r="L6" s="4" t="s">
        <v>99</v>
      </c>
      <c r="M6" s="4" t="s">
        <v>75</v>
      </c>
      <c r="N6" s="17" t="s">
        <v>65</v>
      </c>
    </row>
    <row r="7" customFormat="false" ht="229.5" hidden="false" customHeight="true" outlineLevel="0" collapsed="false">
      <c r="A7" s="8" t="s">
        <v>100</v>
      </c>
      <c r="B7" s="4" t="s">
        <v>101</v>
      </c>
      <c r="C7" s="4" t="s">
        <v>102</v>
      </c>
      <c r="D7" s="17" t="s">
        <v>19</v>
      </c>
      <c r="E7" s="4" t="s">
        <v>103</v>
      </c>
      <c r="F7" s="4" t="s">
        <v>104</v>
      </c>
      <c r="G7" s="4" t="s">
        <v>105</v>
      </c>
      <c r="H7" s="18"/>
      <c r="I7" s="18"/>
      <c r="J7" s="4" t="s">
        <v>106</v>
      </c>
      <c r="K7" s="4" t="s">
        <v>107</v>
      </c>
      <c r="L7" s="4" t="s">
        <v>108</v>
      </c>
      <c r="M7" s="4" t="s">
        <v>109</v>
      </c>
      <c r="N7" s="17" t="s">
        <v>65</v>
      </c>
    </row>
    <row r="8" customFormat="false" ht="229.5" hidden="false" customHeight="true" outlineLevel="0" collapsed="false">
      <c r="A8" s="8" t="s">
        <v>110</v>
      </c>
      <c r="B8" s="4" t="s">
        <v>101</v>
      </c>
      <c r="C8" s="4" t="s">
        <v>111</v>
      </c>
      <c r="D8" s="17" t="s">
        <v>19</v>
      </c>
      <c r="E8" s="4" t="s">
        <v>112</v>
      </c>
      <c r="F8" s="4" t="s">
        <v>113</v>
      </c>
      <c r="G8" s="4" t="s">
        <v>114</v>
      </c>
      <c r="H8" s="18"/>
      <c r="I8" s="18"/>
      <c r="J8" s="4" t="s">
        <v>115</v>
      </c>
      <c r="K8" s="4" t="s">
        <v>116</v>
      </c>
      <c r="L8" s="4" t="s">
        <v>117</v>
      </c>
      <c r="M8" s="4" t="s">
        <v>109</v>
      </c>
      <c r="N8" s="17" t="s">
        <v>65</v>
      </c>
    </row>
    <row r="9" customFormat="false" ht="229.5" hidden="false" customHeight="true" outlineLevel="0" collapsed="false">
      <c r="A9" s="8" t="s">
        <v>118</v>
      </c>
      <c r="B9" s="4" t="s">
        <v>119</v>
      </c>
      <c r="C9" s="4" t="s">
        <v>120</v>
      </c>
      <c r="D9" s="17" t="s">
        <v>21</v>
      </c>
      <c r="E9" s="4" t="s">
        <v>121</v>
      </c>
      <c r="F9" s="4" t="s">
        <v>122</v>
      </c>
      <c r="G9" s="4" t="s">
        <v>123</v>
      </c>
      <c r="H9" s="18"/>
      <c r="I9" s="18"/>
      <c r="J9" s="4" t="s">
        <v>124</v>
      </c>
      <c r="K9" s="4" t="s">
        <v>125</v>
      </c>
      <c r="L9" s="4" t="s">
        <v>126</v>
      </c>
      <c r="M9" s="4" t="s">
        <v>127</v>
      </c>
      <c r="N9" s="17" t="s">
        <v>65</v>
      </c>
    </row>
    <row r="10" customFormat="false" ht="229.5" hidden="false" customHeight="true" outlineLevel="0" collapsed="false">
      <c r="A10" s="8" t="s">
        <v>128</v>
      </c>
      <c r="B10" s="4" t="s">
        <v>129</v>
      </c>
      <c r="C10" s="4" t="s">
        <v>130</v>
      </c>
      <c r="D10" s="17" t="s">
        <v>21</v>
      </c>
      <c r="E10" s="4" t="s">
        <v>131</v>
      </c>
      <c r="F10" s="4" t="s">
        <v>132</v>
      </c>
      <c r="G10" s="4" t="s">
        <v>133</v>
      </c>
      <c r="H10" s="18" t="n">
        <v>2625000</v>
      </c>
      <c r="I10" s="18" t="n">
        <v>5087500</v>
      </c>
      <c r="J10" s="4" t="s">
        <v>134</v>
      </c>
      <c r="K10" s="4" t="s">
        <v>135</v>
      </c>
      <c r="L10" s="4" t="s">
        <v>136</v>
      </c>
      <c r="M10" s="4" t="s">
        <v>137</v>
      </c>
      <c r="N10" s="17" t="s">
        <v>65</v>
      </c>
    </row>
    <row r="11" customFormat="false" ht="229.5" hidden="false" customHeight="true" outlineLevel="0" collapsed="false">
      <c r="A11" s="8" t="s">
        <v>138</v>
      </c>
      <c r="B11" s="4" t="s">
        <v>129</v>
      </c>
      <c r="C11" s="4" t="s">
        <v>139</v>
      </c>
      <c r="D11" s="17" t="s">
        <v>21</v>
      </c>
      <c r="E11" s="4" t="s">
        <v>140</v>
      </c>
      <c r="F11" s="4" t="s">
        <v>141</v>
      </c>
      <c r="G11" s="4" t="s">
        <v>142</v>
      </c>
      <c r="H11" s="18"/>
      <c r="I11" s="18"/>
      <c r="J11" s="4" t="s">
        <v>143</v>
      </c>
      <c r="K11" s="4" t="s">
        <v>144</v>
      </c>
      <c r="L11" s="4" t="s">
        <v>145</v>
      </c>
      <c r="M11" s="4" t="s">
        <v>137</v>
      </c>
      <c r="N11" s="17" t="s">
        <v>65</v>
      </c>
    </row>
    <row r="12" customFormat="false" ht="229.5" hidden="false" customHeight="true" outlineLevel="0" collapsed="false">
      <c r="A12" s="8" t="s">
        <v>146</v>
      </c>
      <c r="B12" s="4" t="s">
        <v>129</v>
      </c>
      <c r="C12" s="4" t="s">
        <v>147</v>
      </c>
      <c r="D12" s="17" t="s">
        <v>21</v>
      </c>
      <c r="E12" s="4" t="s">
        <v>148</v>
      </c>
      <c r="F12" s="4" t="s">
        <v>149</v>
      </c>
      <c r="G12" s="4" t="s">
        <v>150</v>
      </c>
      <c r="H12" s="18"/>
      <c r="I12" s="18"/>
      <c r="J12" s="4" t="s">
        <v>151</v>
      </c>
      <c r="K12" s="4" t="s">
        <v>152</v>
      </c>
      <c r="L12" s="4" t="s">
        <v>153</v>
      </c>
      <c r="M12" s="4" t="s">
        <v>137</v>
      </c>
      <c r="N12" s="17" t="s">
        <v>65</v>
      </c>
    </row>
    <row r="13" customFormat="false" ht="229.5" hidden="false" customHeight="true" outlineLevel="0" collapsed="false">
      <c r="A13" s="8" t="s">
        <v>154</v>
      </c>
      <c r="B13" s="4" t="s">
        <v>56</v>
      </c>
      <c r="C13" s="4" t="s">
        <v>155</v>
      </c>
      <c r="D13" s="17" t="s">
        <v>21</v>
      </c>
      <c r="E13" s="4" t="s">
        <v>156</v>
      </c>
      <c r="F13" s="4" t="s">
        <v>157</v>
      </c>
      <c r="G13" s="4" t="s">
        <v>158</v>
      </c>
      <c r="H13" s="18" t="n">
        <v>200000</v>
      </c>
      <c r="I13" s="18" t="n">
        <v>1162500</v>
      </c>
      <c r="J13" s="4" t="s">
        <v>159</v>
      </c>
      <c r="K13" s="4" t="s">
        <v>160</v>
      </c>
      <c r="L13" s="4" t="s">
        <v>161</v>
      </c>
      <c r="M13" s="4" t="s">
        <v>64</v>
      </c>
      <c r="N13" s="17" t="s">
        <v>65</v>
      </c>
    </row>
    <row r="14" customFormat="false" ht="229.5" hidden="false" customHeight="true" outlineLevel="0" collapsed="false">
      <c r="A14" s="8" t="s">
        <v>162</v>
      </c>
      <c r="B14" s="4" t="s">
        <v>56</v>
      </c>
      <c r="C14" s="4" t="s">
        <v>163</v>
      </c>
      <c r="D14" s="17" t="s">
        <v>21</v>
      </c>
      <c r="E14" s="4" t="s">
        <v>164</v>
      </c>
      <c r="F14" s="4" t="s">
        <v>165</v>
      </c>
      <c r="G14" s="4" t="s">
        <v>166</v>
      </c>
      <c r="H14" s="18"/>
      <c r="I14" s="18"/>
      <c r="J14" s="4" t="s">
        <v>167</v>
      </c>
      <c r="K14" s="4" t="s">
        <v>168</v>
      </c>
      <c r="L14" s="4" t="s">
        <v>169</v>
      </c>
      <c r="M14" s="4" t="s">
        <v>64</v>
      </c>
      <c r="N14" s="17" t="s">
        <v>65</v>
      </c>
    </row>
    <row r="15" customFormat="false" ht="229.5" hidden="false" customHeight="true" outlineLevel="0" collapsed="false">
      <c r="A15" s="8" t="s">
        <v>170</v>
      </c>
      <c r="B15" s="4" t="s">
        <v>56</v>
      </c>
      <c r="C15" s="4" t="s">
        <v>171</v>
      </c>
      <c r="D15" s="17" t="s">
        <v>21</v>
      </c>
      <c r="E15" s="4" t="s">
        <v>172</v>
      </c>
      <c r="F15" s="4" t="s">
        <v>173</v>
      </c>
      <c r="G15" s="4" t="s">
        <v>174</v>
      </c>
      <c r="H15" s="18"/>
      <c r="I15" s="18"/>
      <c r="J15" s="4" t="s">
        <v>167</v>
      </c>
      <c r="K15" s="4" t="s">
        <v>175</v>
      </c>
      <c r="L15" s="4" t="s">
        <v>176</v>
      </c>
      <c r="M15" s="4" t="s">
        <v>64</v>
      </c>
      <c r="N15" s="17" t="s">
        <v>65</v>
      </c>
    </row>
    <row r="16" customFormat="false" ht="229.5" hidden="false" customHeight="true" outlineLevel="0" collapsed="false">
      <c r="A16" s="8" t="s">
        <v>177</v>
      </c>
      <c r="B16" s="4" t="s">
        <v>56</v>
      </c>
      <c r="C16" s="4" t="s">
        <v>178</v>
      </c>
      <c r="D16" s="17" t="s">
        <v>21</v>
      </c>
      <c r="E16" s="4" t="s">
        <v>179</v>
      </c>
      <c r="F16" s="4" t="s">
        <v>180</v>
      </c>
      <c r="G16" s="4" t="s">
        <v>181</v>
      </c>
      <c r="H16" s="18"/>
      <c r="I16" s="18"/>
      <c r="J16" s="4" t="s">
        <v>182</v>
      </c>
      <c r="K16" s="4" t="s">
        <v>183</v>
      </c>
      <c r="L16" s="4" t="s">
        <v>184</v>
      </c>
      <c r="M16" s="4" t="s">
        <v>64</v>
      </c>
      <c r="N16" s="17" t="s">
        <v>65</v>
      </c>
    </row>
    <row r="17" customFormat="false" ht="229.5" hidden="false" customHeight="true" outlineLevel="0" collapsed="false">
      <c r="A17" s="8" t="s">
        <v>185</v>
      </c>
      <c r="B17" s="4" t="s">
        <v>67</v>
      </c>
      <c r="C17" s="4" t="s">
        <v>186</v>
      </c>
      <c r="D17" s="17" t="s">
        <v>21</v>
      </c>
      <c r="E17" s="4" t="s">
        <v>187</v>
      </c>
      <c r="F17" s="4" t="s">
        <v>188</v>
      </c>
      <c r="G17" s="4" t="s">
        <v>189</v>
      </c>
      <c r="H17" s="18"/>
      <c r="I17" s="18"/>
      <c r="J17" s="4" t="s">
        <v>190</v>
      </c>
      <c r="K17" s="4" t="s">
        <v>191</v>
      </c>
      <c r="L17" s="4" t="s">
        <v>192</v>
      </c>
      <c r="M17" s="4" t="s">
        <v>75</v>
      </c>
      <c r="N17" s="17" t="s">
        <v>65</v>
      </c>
    </row>
    <row r="18" customFormat="false" ht="229.5" hidden="false" customHeight="true" outlineLevel="0" collapsed="false">
      <c r="A18" s="8" t="s">
        <v>193</v>
      </c>
      <c r="B18" s="4" t="s">
        <v>67</v>
      </c>
      <c r="C18" s="4" t="s">
        <v>194</v>
      </c>
      <c r="D18" s="17" t="s">
        <v>21</v>
      </c>
      <c r="E18" s="4" t="s">
        <v>195</v>
      </c>
      <c r="F18" s="4" t="s">
        <v>196</v>
      </c>
      <c r="G18" s="4" t="s">
        <v>197</v>
      </c>
      <c r="H18" s="18"/>
      <c r="I18" s="18"/>
      <c r="J18" s="4" t="s">
        <v>198</v>
      </c>
      <c r="K18" s="4" t="s">
        <v>199</v>
      </c>
      <c r="L18" s="4" t="s">
        <v>200</v>
      </c>
      <c r="M18" s="4" t="s">
        <v>75</v>
      </c>
      <c r="N18" s="17" t="s">
        <v>65</v>
      </c>
    </row>
    <row r="19" customFormat="false" ht="229.5" hidden="false" customHeight="true" outlineLevel="0" collapsed="false">
      <c r="A19" s="8" t="s">
        <v>201</v>
      </c>
      <c r="B19" s="4" t="s">
        <v>67</v>
      </c>
      <c r="C19" s="4" t="s">
        <v>202</v>
      </c>
      <c r="D19" s="17" t="s">
        <v>21</v>
      </c>
      <c r="E19" s="4" t="s">
        <v>203</v>
      </c>
      <c r="F19" s="4" t="s">
        <v>204</v>
      </c>
      <c r="G19" s="4" t="s">
        <v>205</v>
      </c>
      <c r="H19" s="18" t="n">
        <v>3300000</v>
      </c>
      <c r="I19" s="18" t="n">
        <v>9800000</v>
      </c>
      <c r="J19" s="4" t="s">
        <v>206</v>
      </c>
      <c r="K19" s="4" t="s">
        <v>207</v>
      </c>
      <c r="L19" s="4" t="s">
        <v>208</v>
      </c>
      <c r="M19" s="4" t="s">
        <v>75</v>
      </c>
      <c r="N19" s="17" t="s">
        <v>65</v>
      </c>
    </row>
    <row r="20" customFormat="false" ht="229.5" hidden="false" customHeight="true" outlineLevel="0" collapsed="false">
      <c r="A20" s="8" t="s">
        <v>209</v>
      </c>
      <c r="B20" s="4" t="s">
        <v>210</v>
      </c>
      <c r="C20" s="4" t="s">
        <v>211</v>
      </c>
      <c r="D20" s="17" t="s">
        <v>21</v>
      </c>
      <c r="E20" s="4" t="s">
        <v>212</v>
      </c>
      <c r="F20" s="4" t="s">
        <v>213</v>
      </c>
      <c r="G20" s="4" t="s">
        <v>214</v>
      </c>
      <c r="H20" s="18"/>
      <c r="I20" s="18"/>
      <c r="J20" s="4" t="s">
        <v>215</v>
      </c>
      <c r="K20" s="4" t="s">
        <v>216</v>
      </c>
      <c r="L20" s="4" t="s">
        <v>217</v>
      </c>
      <c r="M20" s="4" t="s">
        <v>218</v>
      </c>
      <c r="N20" s="17" t="s">
        <v>65</v>
      </c>
    </row>
    <row r="21" customFormat="false" ht="229.5" hidden="false" customHeight="true" outlineLevel="0" collapsed="false">
      <c r="A21" s="8" t="s">
        <v>219</v>
      </c>
      <c r="B21" s="4" t="s">
        <v>220</v>
      </c>
      <c r="C21" s="4" t="s">
        <v>221</v>
      </c>
      <c r="D21" s="17" t="s">
        <v>21</v>
      </c>
      <c r="E21" s="4" t="s">
        <v>222</v>
      </c>
      <c r="F21" s="4" t="s">
        <v>223</v>
      </c>
      <c r="G21" s="4" t="s">
        <v>224</v>
      </c>
      <c r="H21" s="18"/>
      <c r="I21" s="18"/>
      <c r="J21" s="4" t="s">
        <v>225</v>
      </c>
      <c r="K21" s="4" t="s">
        <v>226</v>
      </c>
      <c r="L21" s="4" t="s">
        <v>227</v>
      </c>
      <c r="M21" s="4" t="s">
        <v>228</v>
      </c>
      <c r="N21" s="17" t="s">
        <v>65</v>
      </c>
    </row>
    <row r="22" customFormat="false" ht="229.5" hidden="false" customHeight="true" outlineLevel="0" collapsed="false">
      <c r="A22" s="8" t="s">
        <v>229</v>
      </c>
      <c r="B22" s="4" t="s">
        <v>230</v>
      </c>
      <c r="C22" s="4" t="s">
        <v>231</v>
      </c>
      <c r="D22" s="17" t="s">
        <v>21</v>
      </c>
      <c r="E22" s="4" t="s">
        <v>232</v>
      </c>
      <c r="F22" s="4" t="s">
        <v>233</v>
      </c>
      <c r="G22" s="4" t="s">
        <v>234</v>
      </c>
      <c r="H22" s="18"/>
      <c r="I22" s="18"/>
      <c r="J22" s="4" t="s">
        <v>167</v>
      </c>
      <c r="K22" s="4" t="s">
        <v>235</v>
      </c>
      <c r="L22" s="4" t="s">
        <v>236</v>
      </c>
      <c r="M22" s="4" t="s">
        <v>237</v>
      </c>
      <c r="N22" s="17" t="s">
        <v>65</v>
      </c>
    </row>
    <row r="23" customFormat="false" ht="229.5" hidden="false" customHeight="true" outlineLevel="0" collapsed="false">
      <c r="A23" s="8" t="s">
        <v>238</v>
      </c>
      <c r="B23" s="4" t="s">
        <v>101</v>
      </c>
      <c r="C23" s="4" t="s">
        <v>239</v>
      </c>
      <c r="D23" s="17" t="s">
        <v>21</v>
      </c>
      <c r="E23" s="4" t="s">
        <v>240</v>
      </c>
      <c r="F23" s="4" t="s">
        <v>241</v>
      </c>
      <c r="G23" s="4" t="s">
        <v>242</v>
      </c>
      <c r="H23" s="18"/>
      <c r="I23" s="18"/>
      <c r="J23" s="4" t="s">
        <v>243</v>
      </c>
      <c r="K23" s="4" t="s">
        <v>244</v>
      </c>
      <c r="L23" s="4" t="s">
        <v>245</v>
      </c>
      <c r="M23" s="4" t="s">
        <v>109</v>
      </c>
      <c r="N23" s="17" t="s">
        <v>65</v>
      </c>
    </row>
    <row r="24" customFormat="false" ht="229.5" hidden="false" customHeight="true" outlineLevel="0" collapsed="false">
      <c r="A24" s="8" t="s">
        <v>246</v>
      </c>
      <c r="B24" s="4" t="s">
        <v>247</v>
      </c>
      <c r="C24" s="4" t="s">
        <v>248</v>
      </c>
      <c r="D24" s="17" t="s">
        <v>23</v>
      </c>
      <c r="E24" s="4" t="s">
        <v>249</v>
      </c>
      <c r="F24" s="4" t="s">
        <v>250</v>
      </c>
      <c r="G24" s="4" t="s">
        <v>251</v>
      </c>
      <c r="H24" s="18"/>
      <c r="I24" s="18"/>
      <c r="J24" s="4" t="s">
        <v>252</v>
      </c>
      <c r="K24" s="4" t="s">
        <v>253</v>
      </c>
      <c r="L24" s="4" t="s">
        <v>254</v>
      </c>
      <c r="M24" s="4" t="s">
        <v>255</v>
      </c>
      <c r="N24" s="17" t="s">
        <v>65</v>
      </c>
    </row>
    <row r="25" customFormat="false" ht="229.5" hidden="false" customHeight="true" outlineLevel="0" collapsed="false">
      <c r="A25" s="8" t="s">
        <v>256</v>
      </c>
      <c r="B25" s="4" t="s">
        <v>247</v>
      </c>
      <c r="C25" s="4" t="s">
        <v>257</v>
      </c>
      <c r="D25" s="17" t="s">
        <v>23</v>
      </c>
      <c r="E25" s="4" t="s">
        <v>258</v>
      </c>
      <c r="F25" s="4" t="s">
        <v>259</v>
      </c>
      <c r="G25" s="4" t="s">
        <v>260</v>
      </c>
      <c r="H25" s="18"/>
      <c r="I25" s="18"/>
      <c r="J25" s="4" t="s">
        <v>261</v>
      </c>
      <c r="K25" s="4" t="s">
        <v>262</v>
      </c>
      <c r="L25" s="4" t="s">
        <v>263</v>
      </c>
      <c r="M25" s="4" t="s">
        <v>255</v>
      </c>
      <c r="N25" s="17" t="s">
        <v>65</v>
      </c>
    </row>
    <row r="26" customFormat="false" ht="229.5" hidden="false" customHeight="true" outlineLevel="0" collapsed="false">
      <c r="A26" s="8" t="s">
        <v>264</v>
      </c>
      <c r="B26" s="4" t="s">
        <v>119</v>
      </c>
      <c r="C26" s="4" t="s">
        <v>265</v>
      </c>
      <c r="D26" s="17" t="s">
        <v>23</v>
      </c>
      <c r="E26" s="4" t="s">
        <v>266</v>
      </c>
      <c r="F26" s="4" t="s">
        <v>267</v>
      </c>
      <c r="G26" s="4" t="s">
        <v>268</v>
      </c>
      <c r="H26" s="18" t="n">
        <v>39163000</v>
      </c>
      <c r="I26" s="18" t="n">
        <v>39263000</v>
      </c>
      <c r="J26" s="4" t="s">
        <v>269</v>
      </c>
      <c r="K26" s="4" t="s">
        <v>270</v>
      </c>
      <c r="L26" s="4" t="s">
        <v>271</v>
      </c>
      <c r="M26" s="4" t="s">
        <v>127</v>
      </c>
      <c r="N26" s="17" t="s">
        <v>65</v>
      </c>
    </row>
    <row r="27" customFormat="false" ht="229.5" hidden="false" customHeight="true" outlineLevel="0" collapsed="false">
      <c r="A27" s="8" t="s">
        <v>272</v>
      </c>
      <c r="B27" s="4" t="s">
        <v>129</v>
      </c>
      <c r="C27" s="4" t="s">
        <v>273</v>
      </c>
      <c r="D27" s="17" t="s">
        <v>23</v>
      </c>
      <c r="E27" s="4" t="s">
        <v>274</v>
      </c>
      <c r="F27" s="4" t="s">
        <v>275</v>
      </c>
      <c r="G27" s="4" t="s">
        <v>276</v>
      </c>
      <c r="H27" s="18" t="n">
        <v>0</v>
      </c>
      <c r="I27" s="18" t="n">
        <v>550000</v>
      </c>
      <c r="J27" s="4" t="s">
        <v>277</v>
      </c>
      <c r="K27" s="4" t="s">
        <v>278</v>
      </c>
      <c r="L27" s="4" t="s">
        <v>279</v>
      </c>
      <c r="M27" s="4" t="s">
        <v>137</v>
      </c>
      <c r="N27" s="17" t="s">
        <v>65</v>
      </c>
    </row>
    <row r="28" customFormat="false" ht="229.5" hidden="false" customHeight="true" outlineLevel="0" collapsed="false">
      <c r="A28" s="8" t="s">
        <v>280</v>
      </c>
      <c r="B28" s="4" t="s">
        <v>129</v>
      </c>
      <c r="C28" s="4" t="s">
        <v>281</v>
      </c>
      <c r="D28" s="17" t="s">
        <v>23</v>
      </c>
      <c r="E28" s="4" t="s">
        <v>282</v>
      </c>
      <c r="F28" s="4" t="s">
        <v>283</v>
      </c>
      <c r="G28" s="4" t="s">
        <v>284</v>
      </c>
      <c r="H28" s="18" t="n">
        <v>100000</v>
      </c>
      <c r="I28" s="18" t="n">
        <v>330000</v>
      </c>
      <c r="J28" s="4" t="s">
        <v>285</v>
      </c>
      <c r="K28" s="4" t="s">
        <v>286</v>
      </c>
      <c r="L28" s="4" t="s">
        <v>287</v>
      </c>
      <c r="M28" s="4" t="s">
        <v>137</v>
      </c>
      <c r="N28" s="17" t="s">
        <v>65</v>
      </c>
    </row>
    <row r="29" customFormat="false" ht="229.5" hidden="false" customHeight="true" outlineLevel="0" collapsed="false">
      <c r="A29" s="8" t="s">
        <v>288</v>
      </c>
      <c r="B29" s="4" t="s">
        <v>129</v>
      </c>
      <c r="C29" s="4" t="s">
        <v>289</v>
      </c>
      <c r="D29" s="17" t="s">
        <v>23</v>
      </c>
      <c r="E29" s="4" t="s">
        <v>290</v>
      </c>
      <c r="F29" s="4" t="s">
        <v>291</v>
      </c>
      <c r="G29" s="4" t="s">
        <v>292</v>
      </c>
      <c r="H29" s="18"/>
      <c r="I29" s="18"/>
      <c r="J29" s="4" t="s">
        <v>293</v>
      </c>
      <c r="K29" s="4" t="s">
        <v>294</v>
      </c>
      <c r="L29" s="4" t="s">
        <v>295</v>
      </c>
      <c r="M29" s="4" t="s">
        <v>137</v>
      </c>
      <c r="N29" s="17" t="s">
        <v>65</v>
      </c>
    </row>
    <row r="30" customFormat="false" ht="229.5" hidden="false" customHeight="true" outlineLevel="0" collapsed="false">
      <c r="A30" s="8" t="s">
        <v>296</v>
      </c>
      <c r="B30" s="4" t="s">
        <v>220</v>
      </c>
      <c r="C30" s="4" t="s">
        <v>297</v>
      </c>
      <c r="D30" s="17" t="s">
        <v>23</v>
      </c>
      <c r="E30" s="4" t="s">
        <v>298</v>
      </c>
      <c r="F30" s="4" t="s">
        <v>299</v>
      </c>
      <c r="G30" s="4" t="s">
        <v>300</v>
      </c>
      <c r="H30" s="18"/>
      <c r="I30" s="18"/>
      <c r="J30" s="4" t="s">
        <v>301</v>
      </c>
      <c r="K30" s="4" t="s">
        <v>302</v>
      </c>
      <c r="L30" s="4" t="s">
        <v>303</v>
      </c>
      <c r="M30" s="4" t="s">
        <v>228</v>
      </c>
      <c r="N30" s="17" t="s">
        <v>65</v>
      </c>
    </row>
    <row r="31" customFormat="false" ht="229.5" hidden="false" customHeight="true" outlineLevel="0" collapsed="false">
      <c r="A31" s="8" t="s">
        <v>304</v>
      </c>
      <c r="B31" s="4" t="s">
        <v>305</v>
      </c>
      <c r="C31" s="4" t="s">
        <v>306</v>
      </c>
      <c r="D31" s="17" t="s">
        <v>23</v>
      </c>
      <c r="E31" s="4" t="s">
        <v>307</v>
      </c>
      <c r="F31" s="4" t="s">
        <v>308</v>
      </c>
      <c r="G31" s="4" t="s">
        <v>309</v>
      </c>
      <c r="H31" s="18"/>
      <c r="I31" s="18"/>
      <c r="J31" s="4" t="s">
        <v>261</v>
      </c>
      <c r="K31" s="4" t="s">
        <v>310</v>
      </c>
      <c r="L31" s="4" t="s">
        <v>311</v>
      </c>
      <c r="M31" s="4" t="s">
        <v>312</v>
      </c>
      <c r="N31" s="17" t="s">
        <v>65</v>
      </c>
    </row>
    <row r="32" customFormat="false" ht="229.5" hidden="false" customHeight="true" outlineLevel="0" collapsed="false">
      <c r="A32" s="8" t="s">
        <v>313</v>
      </c>
      <c r="B32" s="4" t="s">
        <v>314</v>
      </c>
      <c r="C32" s="4" t="s">
        <v>315</v>
      </c>
      <c r="D32" s="17" t="s">
        <v>23</v>
      </c>
      <c r="E32" s="4" t="s">
        <v>316</v>
      </c>
      <c r="F32" s="4" t="s">
        <v>317</v>
      </c>
      <c r="G32" s="4" t="s">
        <v>318</v>
      </c>
      <c r="H32" s="18" t="n">
        <v>500000</v>
      </c>
      <c r="I32" s="18" t="n">
        <v>1840000</v>
      </c>
      <c r="J32" s="4" t="s">
        <v>319</v>
      </c>
      <c r="K32" s="4" t="s">
        <v>320</v>
      </c>
      <c r="L32" s="4" t="s">
        <v>321</v>
      </c>
      <c r="M32" s="4" t="s">
        <v>322</v>
      </c>
      <c r="N32" s="17" t="s">
        <v>65</v>
      </c>
    </row>
    <row r="33" customFormat="false" ht="229.5" hidden="false" customHeight="true" outlineLevel="0" collapsed="false">
      <c r="A33" s="8" t="s">
        <v>323</v>
      </c>
      <c r="B33" s="4" t="s">
        <v>230</v>
      </c>
      <c r="C33" s="4" t="s">
        <v>324</v>
      </c>
      <c r="D33" s="17" t="s">
        <v>23</v>
      </c>
      <c r="E33" s="4" t="s">
        <v>325</v>
      </c>
      <c r="F33" s="4" t="s">
        <v>326</v>
      </c>
      <c r="G33" s="4" t="s">
        <v>327</v>
      </c>
      <c r="H33" s="18"/>
      <c r="I33" s="18"/>
      <c r="J33" s="4" t="s">
        <v>328</v>
      </c>
      <c r="K33" s="4" t="s">
        <v>329</v>
      </c>
      <c r="L33" s="4" t="s">
        <v>330</v>
      </c>
      <c r="M33" s="4" t="s">
        <v>237</v>
      </c>
      <c r="N33" s="17" t="s">
        <v>65</v>
      </c>
    </row>
    <row r="34" customFormat="false" ht="229.5" hidden="false" customHeight="true" outlineLevel="0" collapsed="false">
      <c r="A34" s="8" t="s">
        <v>331</v>
      </c>
      <c r="B34" s="4" t="s">
        <v>101</v>
      </c>
      <c r="C34" s="4" t="s">
        <v>332</v>
      </c>
      <c r="D34" s="17" t="s">
        <v>23</v>
      </c>
      <c r="E34" s="4" t="s">
        <v>333</v>
      </c>
      <c r="F34" s="4" t="s">
        <v>334</v>
      </c>
      <c r="G34" s="4" t="s">
        <v>335</v>
      </c>
      <c r="H34" s="18"/>
      <c r="I34" s="18"/>
      <c r="J34" s="4" t="s">
        <v>336</v>
      </c>
      <c r="K34" s="4" t="s">
        <v>337</v>
      </c>
      <c r="L34" s="4" t="s">
        <v>338</v>
      </c>
      <c r="M34" s="4" t="s">
        <v>109</v>
      </c>
      <c r="N34" s="17" t="s">
        <v>65</v>
      </c>
    </row>
    <row r="35" customFormat="false" ht="229.5" hidden="false" customHeight="true" outlineLevel="0" collapsed="false">
      <c r="A35" s="8" t="s">
        <v>339</v>
      </c>
      <c r="B35" s="4" t="s">
        <v>340</v>
      </c>
      <c r="C35" s="4" t="s">
        <v>341</v>
      </c>
      <c r="D35" s="17" t="s">
        <v>23</v>
      </c>
      <c r="E35" s="4" t="s">
        <v>342</v>
      </c>
      <c r="F35" s="4" t="s">
        <v>343</v>
      </c>
      <c r="G35" s="4" t="s">
        <v>344</v>
      </c>
      <c r="H35" s="18"/>
      <c r="I35" s="18"/>
      <c r="J35" s="4" t="s">
        <v>345</v>
      </c>
      <c r="K35" s="4" t="s">
        <v>346</v>
      </c>
      <c r="L35" s="4" t="s">
        <v>347</v>
      </c>
      <c r="M35" s="4" t="s">
        <v>348</v>
      </c>
      <c r="N35" s="17" t="s">
        <v>65</v>
      </c>
    </row>
    <row r="36" customFormat="false" ht="229.5" hidden="false" customHeight="true" outlineLevel="0" collapsed="false">
      <c r="A36" s="8" t="s">
        <v>349</v>
      </c>
      <c r="B36" s="4" t="s">
        <v>247</v>
      </c>
      <c r="C36" s="4" t="s">
        <v>350</v>
      </c>
      <c r="D36" s="17" t="s">
        <v>25</v>
      </c>
      <c r="E36" s="4" t="s">
        <v>351</v>
      </c>
      <c r="F36" s="4" t="s">
        <v>352</v>
      </c>
      <c r="G36" s="4" t="s">
        <v>353</v>
      </c>
      <c r="H36" s="18"/>
      <c r="I36" s="18"/>
      <c r="J36" s="4" t="s">
        <v>354</v>
      </c>
      <c r="K36" s="4" t="s">
        <v>355</v>
      </c>
      <c r="L36" s="4" t="s">
        <v>356</v>
      </c>
      <c r="M36" s="4" t="s">
        <v>255</v>
      </c>
      <c r="N36" s="17" t="s">
        <v>65</v>
      </c>
    </row>
  </sheetData>
  <autoFilter ref="A1:N36"/>
  <conditionalFormatting sqref="D2:D36">
    <cfRule type="cellIs" priority="2" operator="equal" aboveAverage="0" equalAverage="0" bottom="0" percent="0" rank="0" text="" dxfId="0">
      <formula>"Critical"</formula>
    </cfRule>
    <cfRule type="cellIs" priority="3" operator="equal" aboveAverage="0" equalAverage="0" bottom="0" percent="0" rank="0" text="" dxfId="1">
      <formula>"High"</formula>
    </cfRule>
    <cfRule type="cellIs" priority="4" operator="equal" aboveAverage="0" equalAverage="0" bottom="0" percent="0" rank="0" text="" dxfId="2">
      <formula>"Medium"</formula>
    </cfRule>
    <cfRule type="cellIs" priority="5" operator="equal" aboveAverage="0" equalAverage="0" bottom="0" percent="0" rank="0" text="" dxfId="3">
      <formula>"Low"</formula>
    </cfRule>
  </conditionalFormatting>
  <dataValidations count="2">
    <dataValidation allowBlank="true" errorStyle="stop" operator="between" showDropDown="false" showErrorMessage="false" showInputMessage="false" sqref="N2:N36" type="list">
      <formula1>"Open,In Progress,Resolved,Closed - Accepted Risk"</formula1>
      <formula2>0</formula2>
    </dataValidation>
    <dataValidation allowBlank="false" errorStyle="stop" operator="between" showDropDown="false" showErrorMessage="false" showInputMessage="false" sqref="D2:D36" type="list">
      <formula1>"Critical,High,Medium,Low"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6" min="2" style="0" width="16"/>
    <col collapsed="false" customWidth="true" hidden="false" outlineLevel="0" max="7" min="7" style="0" width="70"/>
  </cols>
  <sheetData>
    <row r="1" customFormat="false" ht="17.35" hidden="false" customHeight="false" outlineLevel="0" collapsed="false">
      <c r="A1" s="1" t="s">
        <v>357</v>
      </c>
    </row>
    <row r="3" customFormat="false" ht="15" hidden="false" customHeight="false" outlineLevel="0" collapsed="false">
      <c r="A3" s="7" t="s">
        <v>358</v>
      </c>
      <c r="B3" s="7" t="s">
        <v>359</v>
      </c>
      <c r="C3" s="7"/>
      <c r="D3" s="7"/>
      <c r="E3" s="7"/>
      <c r="F3" s="7"/>
      <c r="G3" s="7" t="s">
        <v>360</v>
      </c>
    </row>
    <row r="4" customFormat="false" ht="15" hidden="false" customHeight="false" outlineLevel="0" collapsed="false">
      <c r="A4" s="4" t="s">
        <v>361</v>
      </c>
      <c r="B4" s="19" t="n">
        <v>18400</v>
      </c>
      <c r="G4" s="4" t="s">
        <v>362</v>
      </c>
    </row>
    <row r="5" customFormat="false" ht="15" hidden="false" customHeight="false" outlineLevel="0" collapsed="false">
      <c r="A5" s="4" t="s">
        <v>363</v>
      </c>
      <c r="B5" s="19" t="n">
        <v>1200</v>
      </c>
      <c r="G5" s="4" t="s">
        <v>364</v>
      </c>
    </row>
    <row r="6" customFormat="false" ht="15" hidden="false" customHeight="false" outlineLevel="0" collapsed="false">
      <c r="A6" s="4" t="s">
        <v>365</v>
      </c>
      <c r="B6" s="19" t="n">
        <v>950</v>
      </c>
      <c r="G6" s="4" t="s">
        <v>366</v>
      </c>
    </row>
    <row r="7" customFormat="false" ht="15" hidden="false" customHeight="false" outlineLevel="0" collapsed="false">
      <c r="A7" s="4" t="s">
        <v>367</v>
      </c>
      <c r="B7" s="19" t="n">
        <v>650</v>
      </c>
      <c r="G7" s="4" t="s">
        <v>368</v>
      </c>
    </row>
    <row r="8" customFormat="false" ht="15" hidden="false" customHeight="false" outlineLevel="0" collapsed="false">
      <c r="A8" s="4" t="s">
        <v>369</v>
      </c>
      <c r="B8" s="19" t="n">
        <v>800</v>
      </c>
      <c r="G8" s="4" t="s">
        <v>370</v>
      </c>
    </row>
    <row r="9" customFormat="false" ht="15" hidden="false" customHeight="false" outlineLevel="0" collapsed="false">
      <c r="A9" s="4" t="s">
        <v>371</v>
      </c>
      <c r="B9" s="19" t="n">
        <v>1800</v>
      </c>
      <c r="G9" s="4" t="s">
        <v>372</v>
      </c>
    </row>
    <row r="10" customFormat="false" ht="15" hidden="false" customHeight="false" outlineLevel="0" collapsed="false">
      <c r="A10" s="10" t="s">
        <v>373</v>
      </c>
      <c r="B10" s="20" t="n">
        <f aca="false">SUM(B4:B9)</f>
        <v>23800</v>
      </c>
      <c r="G10" s="4" t="s">
        <v>374</v>
      </c>
    </row>
    <row r="11" customFormat="false" ht="15" hidden="false" customHeight="false" outlineLevel="0" collapsed="false">
      <c r="A11" s="4" t="s">
        <v>375</v>
      </c>
      <c r="B11" s="19" t="n">
        <v>22800</v>
      </c>
      <c r="G11" s="4" t="s">
        <v>376</v>
      </c>
    </row>
    <row r="12" customFormat="false" ht="15" hidden="false" customHeight="false" outlineLevel="0" collapsed="false">
      <c r="A12" s="4" t="s">
        <v>377</v>
      </c>
      <c r="B12" s="21" t="n">
        <f aca="false">B10-B11</f>
        <v>1000</v>
      </c>
      <c r="G12" s="4" t="s">
        <v>378</v>
      </c>
    </row>
    <row r="14" customFormat="false" ht="15" hidden="false" customHeight="false" outlineLevel="0" collapsed="false">
      <c r="A14" s="7" t="s">
        <v>379</v>
      </c>
      <c r="B14" s="7" t="s">
        <v>380</v>
      </c>
      <c r="C14" s="7" t="s">
        <v>381</v>
      </c>
      <c r="D14" s="7"/>
      <c r="E14" s="7"/>
      <c r="F14" s="7"/>
      <c r="G14" s="7" t="s">
        <v>382</v>
      </c>
    </row>
    <row r="15" customFormat="false" ht="15" hidden="false" customHeight="false" outlineLevel="0" collapsed="false">
      <c r="A15" s="4" t="s">
        <v>383</v>
      </c>
      <c r="B15" s="21" t="n">
        <f aca="false">-B5</f>
        <v>-1200</v>
      </c>
      <c r="C15" s="21" t="n">
        <f aca="false">-B5</f>
        <v>-1200</v>
      </c>
      <c r="G15" s="4" t="s">
        <v>384</v>
      </c>
    </row>
    <row r="16" customFormat="false" ht="23.85" hidden="false" customHeight="false" outlineLevel="0" collapsed="false">
      <c r="A16" s="4" t="s">
        <v>385</v>
      </c>
      <c r="B16" s="21" t="n">
        <v>0</v>
      </c>
      <c r="C16" s="19" t="n">
        <v>-1200</v>
      </c>
      <c r="G16" s="4" t="s">
        <v>386</v>
      </c>
    </row>
    <row r="17" customFormat="false" ht="15" hidden="false" customHeight="false" outlineLevel="0" collapsed="false">
      <c r="A17" s="4" t="s">
        <v>387</v>
      </c>
      <c r="B17" s="21" t="n">
        <f aca="false">-B7</f>
        <v>-650</v>
      </c>
      <c r="C17" s="21" t="n">
        <f aca="false">-B7</f>
        <v>-650</v>
      </c>
      <c r="G17" s="4" t="s">
        <v>388</v>
      </c>
    </row>
    <row r="18" customFormat="false" ht="15" hidden="false" customHeight="false" outlineLevel="0" collapsed="false">
      <c r="A18" s="4" t="s">
        <v>389</v>
      </c>
      <c r="B18" s="21" t="n">
        <f aca="false">-B8</f>
        <v>-800</v>
      </c>
      <c r="C18" s="21" t="n">
        <f aca="false">-B8</f>
        <v>-800</v>
      </c>
      <c r="G18" s="4" t="s">
        <v>390</v>
      </c>
    </row>
    <row r="19" customFormat="false" ht="15" hidden="false" customHeight="false" outlineLevel="0" collapsed="false">
      <c r="A19" s="4" t="s">
        <v>391</v>
      </c>
      <c r="B19" s="21" t="n">
        <v>0</v>
      </c>
      <c r="C19" s="21" t="n">
        <f aca="false">-B6</f>
        <v>-950</v>
      </c>
      <c r="G19" s="4" t="s">
        <v>392</v>
      </c>
    </row>
    <row r="20" customFormat="false" ht="15" hidden="false" customHeight="false" outlineLevel="0" collapsed="false">
      <c r="A20" s="4" t="s">
        <v>393</v>
      </c>
      <c r="B20" s="21" t="n">
        <v>0</v>
      </c>
      <c r="C20" s="21" t="n">
        <v>0</v>
      </c>
      <c r="G20" s="4" t="s">
        <v>394</v>
      </c>
    </row>
    <row r="21" customFormat="false" ht="15" hidden="false" customHeight="false" outlineLevel="0" collapsed="false">
      <c r="A21" s="10" t="s">
        <v>395</v>
      </c>
      <c r="B21" s="20" t="n">
        <f aca="false">SUM(B15:B20)</f>
        <v>-2650</v>
      </c>
      <c r="C21" s="20" t="n">
        <f aca="false">SUM(C15:C20)</f>
        <v>-4800</v>
      </c>
    </row>
    <row r="22" customFormat="false" ht="15" hidden="false" customHeight="false" outlineLevel="0" collapsed="false">
      <c r="A22" s="10" t="s">
        <v>396</v>
      </c>
      <c r="B22" s="20" t="n">
        <f aca="false">B10+B21</f>
        <v>21150</v>
      </c>
      <c r="C22" s="20" t="n">
        <f aca="false">B10+C21</f>
        <v>19000</v>
      </c>
    </row>
    <row r="24" customFormat="false" ht="15" hidden="false" customHeight="false" outlineLevel="0" collapsed="false">
      <c r="A24" s="7" t="s">
        <v>397</v>
      </c>
      <c r="B24" s="7" t="s">
        <v>398</v>
      </c>
      <c r="C24" s="7"/>
      <c r="D24" s="7"/>
      <c r="E24" s="7"/>
      <c r="F24" s="7"/>
      <c r="G24" s="7" t="s">
        <v>399</v>
      </c>
    </row>
    <row r="25" customFormat="false" ht="15" hidden="false" customHeight="false" outlineLevel="0" collapsed="false">
      <c r="A25" s="4" t="s">
        <v>400</v>
      </c>
      <c r="B25" s="13" t="n">
        <f aca="false">'DOE IDIQ Analysis'!C29</f>
        <v>12100</v>
      </c>
      <c r="G25" s="4" t="s">
        <v>401</v>
      </c>
    </row>
    <row r="26" customFormat="false" ht="15" hidden="false" customHeight="false" outlineLevel="0" collapsed="false">
      <c r="A26" s="4" t="s">
        <v>402</v>
      </c>
      <c r="B26" s="22" t="n">
        <v>0.37</v>
      </c>
      <c r="G26" s="4" t="s">
        <v>403</v>
      </c>
    </row>
    <row r="27" customFormat="false" ht="15" hidden="false" customHeight="false" outlineLevel="0" collapsed="false">
      <c r="A27" s="4" t="s">
        <v>404</v>
      </c>
      <c r="B27" s="21" t="n">
        <f aca="false">-B25*B26</f>
        <v>-4477</v>
      </c>
    </row>
    <row r="30" customFormat="false" ht="15" hidden="false" customHeight="false" outlineLevel="0" collapsed="false">
      <c r="A30" s="7" t="s">
        <v>405</v>
      </c>
      <c r="B30" s="7"/>
      <c r="C30" s="7"/>
      <c r="D30" s="7"/>
      <c r="E30" s="7"/>
      <c r="F30" s="7"/>
      <c r="G30" s="7"/>
    </row>
    <row r="31" customFormat="false" ht="23.85" hidden="false" customHeight="false" outlineLevel="0" collapsed="false">
      <c r="A31" s="7" t="s">
        <v>29</v>
      </c>
      <c r="B31" s="7" t="s">
        <v>30</v>
      </c>
      <c r="C31" s="7" t="s">
        <v>31</v>
      </c>
      <c r="D31" s="7" t="s">
        <v>32</v>
      </c>
      <c r="E31" s="7" t="s">
        <v>406</v>
      </c>
      <c r="F31" s="7" t="s">
        <v>407</v>
      </c>
      <c r="G31" s="7" t="s">
        <v>408</v>
      </c>
    </row>
    <row r="32" customFormat="false" ht="15" hidden="false" customHeight="false" outlineLevel="0" collapsed="false">
      <c r="A32" s="4" t="s">
        <v>409</v>
      </c>
      <c r="B32" s="21" t="n">
        <f aca="false">B11</f>
        <v>22800</v>
      </c>
      <c r="C32" s="21" t="n">
        <f aca="false">B32*$B$39</f>
        <v>182400</v>
      </c>
      <c r="D32" s="21" t="n">
        <f aca="false">B32*$B$40</f>
        <v>205200</v>
      </c>
      <c r="E32" s="21" t="n">
        <f aca="false">C32-$B$41</f>
        <v>400</v>
      </c>
      <c r="F32" s="21" t="n">
        <f aca="false">D32-$B$42</f>
        <v>200</v>
      </c>
      <c r="G32" s="4" t="s">
        <v>410</v>
      </c>
    </row>
    <row r="33" customFormat="false" ht="15" hidden="false" customHeight="false" outlineLevel="0" collapsed="false">
      <c r="A33" s="4" t="s">
        <v>411</v>
      </c>
      <c r="B33" s="21" t="n">
        <f aca="false">B22</f>
        <v>21150</v>
      </c>
      <c r="C33" s="21" t="n">
        <f aca="false">B33*$B$39</f>
        <v>169200</v>
      </c>
      <c r="D33" s="21" t="n">
        <f aca="false">B33*$B$40</f>
        <v>190350</v>
      </c>
      <c r="E33" s="21" t="n">
        <f aca="false">C33-$B$41</f>
        <v>-12800</v>
      </c>
      <c r="F33" s="21" t="n">
        <f aca="false">D33-$B$42</f>
        <v>-14650</v>
      </c>
      <c r="G33" s="4" t="s">
        <v>412</v>
      </c>
    </row>
    <row r="34" customFormat="false" ht="15" hidden="false" customHeight="false" outlineLevel="0" collapsed="false">
      <c r="A34" s="4" t="s">
        <v>413</v>
      </c>
      <c r="B34" s="21" t="n">
        <f aca="false">C22</f>
        <v>19000</v>
      </c>
      <c r="C34" s="21" t="n">
        <f aca="false">B34*$B$39</f>
        <v>152000</v>
      </c>
      <c r="D34" s="21" t="n">
        <f aca="false">B34*$B$40</f>
        <v>171000</v>
      </c>
      <c r="E34" s="21" t="n">
        <f aca="false">C34-$B$41</f>
        <v>-30000</v>
      </c>
      <c r="F34" s="21" t="n">
        <f aca="false">D34-$B$42</f>
        <v>-34000</v>
      </c>
      <c r="G34" s="4" t="s">
        <v>414</v>
      </c>
    </row>
    <row r="35" customFormat="false" ht="15" hidden="false" customHeight="false" outlineLevel="0" collapsed="false">
      <c r="A35" s="4" t="s">
        <v>415</v>
      </c>
      <c r="B35" s="21" t="n">
        <f aca="false">B22+B27</f>
        <v>16673</v>
      </c>
      <c r="C35" s="21" t="n">
        <f aca="false">B35*$B$39</f>
        <v>133384</v>
      </c>
      <c r="D35" s="21" t="n">
        <f aca="false">B35*$B$40</f>
        <v>150057</v>
      </c>
      <c r="E35" s="21" t="n">
        <f aca="false">C35-$B$41</f>
        <v>-48616</v>
      </c>
      <c r="F35" s="21" t="n">
        <f aca="false">D35-$B$42</f>
        <v>-54943</v>
      </c>
      <c r="G35" s="4" t="s">
        <v>416</v>
      </c>
    </row>
    <row r="36" customFormat="false" ht="15" hidden="false" customHeight="false" outlineLevel="0" collapsed="false">
      <c r="A36" s="4" t="s">
        <v>417</v>
      </c>
      <c r="B36" s="19" t="n">
        <v>18400</v>
      </c>
      <c r="C36" s="21" t="n">
        <f aca="false">B36*$B$39</f>
        <v>147200</v>
      </c>
      <c r="D36" s="21" t="n">
        <f aca="false">B36*$B$40</f>
        <v>165600</v>
      </c>
      <c r="E36" s="21" t="n">
        <f aca="false">C36-$B$41</f>
        <v>-34800</v>
      </c>
      <c r="F36" s="21" t="n">
        <f aca="false">D36-$B$42</f>
        <v>-39400</v>
      </c>
      <c r="G36" s="4" t="s">
        <v>418</v>
      </c>
    </row>
    <row r="38" customFormat="false" ht="15" hidden="false" customHeight="false" outlineLevel="0" collapsed="false">
      <c r="A38" s="3" t="s">
        <v>419</v>
      </c>
    </row>
    <row r="39" customFormat="false" ht="15" hidden="false" customHeight="false" outlineLevel="0" collapsed="false">
      <c r="A39" s="4" t="s">
        <v>420</v>
      </c>
      <c r="B39" s="23" t="n">
        <v>8</v>
      </c>
    </row>
    <row r="40" customFormat="false" ht="15" hidden="false" customHeight="false" outlineLevel="0" collapsed="false">
      <c r="A40" s="4" t="s">
        <v>421</v>
      </c>
      <c r="B40" s="23" t="n">
        <v>9</v>
      </c>
    </row>
    <row r="41" customFormat="false" ht="15" hidden="false" customHeight="false" outlineLevel="0" collapsed="false">
      <c r="A41" s="4" t="s">
        <v>422</v>
      </c>
      <c r="B41" s="19" t="n">
        <v>182000</v>
      </c>
    </row>
    <row r="42" customFormat="false" ht="15" hidden="false" customHeight="false" outlineLevel="0" collapsed="false">
      <c r="A42" s="4" t="s">
        <v>423</v>
      </c>
      <c r="B42" s="19" t="n">
        <v>205000</v>
      </c>
    </row>
    <row r="44" customFormat="false" ht="15" hidden="false" customHeight="false" outlineLevel="0" collapsed="false">
      <c r="A44" s="16" t="s">
        <v>424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4" min="3" style="0" width="16"/>
    <col collapsed="false" customWidth="true" hidden="false" outlineLevel="0" max="5" min="5" style="0" width="34"/>
    <col collapsed="false" customWidth="true" hidden="false" outlineLevel="0" max="6" min="6" style="0" width="70"/>
  </cols>
  <sheetData>
    <row r="1" customFormat="false" ht="15" hidden="false" customHeight="false" outlineLevel="0" collapsed="false">
      <c r="A1" s="7" t="s">
        <v>425</v>
      </c>
      <c r="B1" s="7" t="s">
        <v>426</v>
      </c>
      <c r="C1" s="7" t="s">
        <v>37</v>
      </c>
      <c r="D1" s="7" t="s">
        <v>38</v>
      </c>
      <c r="E1" s="7" t="s">
        <v>427</v>
      </c>
      <c r="F1" s="7" t="s">
        <v>428</v>
      </c>
    </row>
    <row r="2" customFormat="false" ht="15" hidden="false" customHeight="false" outlineLevel="0" collapsed="false">
      <c r="A2" s="8" t="s">
        <v>128</v>
      </c>
      <c r="B2" s="4" t="s">
        <v>429</v>
      </c>
      <c r="C2" s="18" t="n">
        <v>2625000</v>
      </c>
      <c r="D2" s="18" t="n">
        <v>3937500</v>
      </c>
      <c r="E2" s="4" t="s">
        <v>430</v>
      </c>
      <c r="F2" s="4" t="s">
        <v>431</v>
      </c>
    </row>
    <row r="3" customFormat="false" ht="23.85" hidden="false" customHeight="false" outlineLevel="0" collapsed="false">
      <c r="A3" s="8" t="s">
        <v>128</v>
      </c>
      <c r="B3" s="4" t="s">
        <v>432</v>
      </c>
      <c r="C3" s="18" t="n">
        <v>0</v>
      </c>
      <c r="D3" s="18" t="n">
        <v>1150000</v>
      </c>
      <c r="E3" s="4" t="s">
        <v>433</v>
      </c>
      <c r="F3" s="4" t="s">
        <v>434</v>
      </c>
    </row>
    <row r="4" customFormat="false" ht="15" hidden="false" customHeight="false" outlineLevel="0" collapsed="false">
      <c r="A4" s="8" t="s">
        <v>128</v>
      </c>
      <c r="B4" s="4" t="s">
        <v>435</v>
      </c>
      <c r="C4" s="24" t="n">
        <f aca="false">(C2+C3)*0.0145</f>
        <v>38062.5</v>
      </c>
      <c r="D4" s="24" t="n">
        <f aca="false">(D2+D3)*0.0145</f>
        <v>73768.75</v>
      </c>
      <c r="E4" s="4" t="s">
        <v>436</v>
      </c>
      <c r="F4" s="4" t="s">
        <v>437</v>
      </c>
    </row>
    <row r="5" customFormat="false" ht="15" hidden="false" customHeight="false" outlineLevel="0" collapsed="false">
      <c r="A5" s="8" t="s">
        <v>264</v>
      </c>
      <c r="B5" s="4" t="s">
        <v>438</v>
      </c>
      <c r="C5" s="18" t="n">
        <v>256425</v>
      </c>
      <c r="D5" s="18" t="n">
        <v>263000</v>
      </c>
      <c r="E5" s="4" t="s">
        <v>439</v>
      </c>
      <c r="F5" s="4" t="s">
        <v>440</v>
      </c>
    </row>
    <row r="6" customFormat="false" ht="15" hidden="false" customHeight="false" outlineLevel="0" collapsed="false">
      <c r="A6" s="8" t="s">
        <v>154</v>
      </c>
      <c r="B6" s="4" t="s">
        <v>441</v>
      </c>
      <c r="C6" s="18" t="n">
        <v>200000</v>
      </c>
      <c r="D6" s="18" t="n">
        <v>1162500</v>
      </c>
      <c r="E6" s="4" t="s">
        <v>442</v>
      </c>
      <c r="F6" s="4" t="s">
        <v>443</v>
      </c>
    </row>
    <row r="7" customFormat="false" ht="23.85" hidden="false" customHeight="false" outlineLevel="0" collapsed="false">
      <c r="A7" s="8" t="s">
        <v>55</v>
      </c>
      <c r="B7" s="4" t="s">
        <v>444</v>
      </c>
      <c r="C7" s="18" t="n">
        <v>1830000</v>
      </c>
      <c r="D7" s="18" t="n">
        <v>3471000</v>
      </c>
      <c r="E7" s="4" t="s">
        <v>445</v>
      </c>
      <c r="F7" s="4" t="s">
        <v>446</v>
      </c>
    </row>
    <row r="8" customFormat="false" ht="15" hidden="false" customHeight="false" outlineLevel="0" collapsed="false">
      <c r="A8" s="8" t="s">
        <v>55</v>
      </c>
      <c r="B8" s="4" t="s">
        <v>447</v>
      </c>
      <c r="C8" s="18" t="n">
        <v>-2200000</v>
      </c>
      <c r="D8" s="18" t="n">
        <v>-2200000</v>
      </c>
      <c r="E8" s="4"/>
      <c r="F8" s="4" t="s">
        <v>448</v>
      </c>
    </row>
    <row r="9" customFormat="false" ht="15" hidden="false" customHeight="false" outlineLevel="0" collapsed="false">
      <c r="A9" s="8" t="s">
        <v>55</v>
      </c>
      <c r="B9" s="4" t="s">
        <v>449</v>
      </c>
      <c r="C9" s="24" t="n">
        <f aca="false">MAX(0,C7+C8)</f>
        <v>0</v>
      </c>
      <c r="D9" s="24" t="n">
        <f aca="false">MAX(0,D7+D8)</f>
        <v>1271000</v>
      </c>
      <c r="E9" s="4" t="s">
        <v>445</v>
      </c>
      <c r="F9" s="4" t="s">
        <v>450</v>
      </c>
    </row>
    <row r="10" customFormat="false" ht="15" hidden="false" customHeight="false" outlineLevel="0" collapsed="false">
      <c r="A10" s="8" t="s">
        <v>313</v>
      </c>
      <c r="B10" s="4" t="s">
        <v>451</v>
      </c>
      <c r="C10" s="18" t="n">
        <v>500000</v>
      </c>
      <c r="D10" s="18" t="n">
        <v>1500000</v>
      </c>
      <c r="E10" s="4" t="s">
        <v>452</v>
      </c>
      <c r="F10" s="4" t="s">
        <v>453</v>
      </c>
    </row>
    <row r="11" customFormat="false" ht="15" hidden="false" customHeight="false" outlineLevel="0" collapsed="false">
      <c r="A11" s="8" t="s">
        <v>313</v>
      </c>
      <c r="B11" s="4" t="s">
        <v>454</v>
      </c>
      <c r="C11" s="18" t="n">
        <v>0</v>
      </c>
      <c r="D11" s="18" t="n">
        <v>340000</v>
      </c>
      <c r="E11" s="4" t="s">
        <v>455</v>
      </c>
      <c r="F11" s="4" t="s">
        <v>456</v>
      </c>
    </row>
    <row r="12" customFormat="false" ht="15" hidden="false" customHeight="false" outlineLevel="0" collapsed="false">
      <c r="A12" s="8" t="s">
        <v>280</v>
      </c>
      <c r="B12" s="4" t="s">
        <v>457</v>
      </c>
      <c r="C12" s="18" t="n">
        <v>100000</v>
      </c>
      <c r="D12" s="18" t="n">
        <v>330000</v>
      </c>
      <c r="E12" s="4" t="s">
        <v>455</v>
      </c>
      <c r="F12" s="4" t="s">
        <v>458</v>
      </c>
    </row>
    <row r="13" customFormat="false" ht="23.85" hidden="false" customHeight="false" outlineLevel="0" collapsed="false">
      <c r="A13" s="8" t="s">
        <v>272</v>
      </c>
      <c r="B13" s="4" t="s">
        <v>459</v>
      </c>
      <c r="C13" s="18" t="n">
        <v>0</v>
      </c>
      <c r="D13" s="18" t="n">
        <v>550000</v>
      </c>
      <c r="E13" s="4" t="s">
        <v>460</v>
      </c>
      <c r="F13" s="4" t="s">
        <v>461</v>
      </c>
    </row>
    <row r="14" customFormat="false" ht="15" hidden="false" customHeight="false" outlineLevel="0" collapsed="false">
      <c r="A14" s="8" t="s">
        <v>201</v>
      </c>
      <c r="B14" s="4" t="s">
        <v>462</v>
      </c>
      <c r="C14" s="18" t="n">
        <v>3300000</v>
      </c>
      <c r="D14" s="18" t="n">
        <v>9800000</v>
      </c>
      <c r="E14" s="4" t="s">
        <v>463</v>
      </c>
      <c r="F14" s="4" t="s">
        <v>464</v>
      </c>
    </row>
    <row r="16" customFormat="false" ht="15" hidden="false" customHeight="false" outlineLevel="0" collapsed="false">
      <c r="B16" s="10" t="s">
        <v>465</v>
      </c>
    </row>
    <row r="17" customFormat="false" ht="30" hidden="false" customHeight="true" outlineLevel="0" collapsed="false">
      <c r="B17" s="25" t="s">
        <v>466</v>
      </c>
      <c r="C17" s="25"/>
      <c r="D17" s="25"/>
      <c r="E17" s="25"/>
      <c r="F17" s="25"/>
    </row>
    <row r="18" customFormat="false" ht="15" hidden="false" customHeight="false" outlineLevel="0" collapsed="false">
      <c r="B18" s="25"/>
      <c r="C18" s="25"/>
      <c r="D18" s="25"/>
      <c r="E18" s="25"/>
      <c r="F18" s="25"/>
    </row>
    <row r="19" customFormat="false" ht="15" hidden="false" customHeight="false" outlineLevel="0" collapsed="false">
      <c r="B19" s="25"/>
      <c r="C19" s="25"/>
      <c r="D19" s="25"/>
      <c r="E19" s="25"/>
      <c r="F19" s="25"/>
    </row>
    <row r="21" customFormat="false" ht="23.85" hidden="false" customHeight="false" outlineLevel="0" collapsed="false">
      <c r="B21" s="10" t="s">
        <v>467</v>
      </c>
      <c r="C21" s="26" t="n">
        <f aca="false">SUM(C2:C6)+SUM(C9:C14)</f>
        <v>7019487.5</v>
      </c>
      <c r="D21" s="26" t="n">
        <f aca="false">SUM(D2:D6)+SUM(D9:D14)</f>
        <v>20377768.75</v>
      </c>
      <c r="F21" s="4" t="s">
        <v>468</v>
      </c>
    </row>
    <row r="23" customFormat="false" ht="15" hidden="false" customHeight="false" outlineLevel="0" collapsed="false">
      <c r="B23" s="4" t="s">
        <v>469</v>
      </c>
      <c r="C23" s="5" t="n">
        <v>39163000</v>
      </c>
      <c r="D23" s="5" t="n">
        <v>39263000</v>
      </c>
    </row>
    <row r="24" customFormat="false" ht="15" hidden="false" customHeight="false" outlineLevel="0" collapsed="false">
      <c r="B24" s="4" t="s">
        <v>470</v>
      </c>
      <c r="C24" s="5" t="n">
        <v>1400000</v>
      </c>
      <c r="D24" s="5" t="n">
        <v>1400000</v>
      </c>
    </row>
    <row r="25" customFormat="false" ht="15" hidden="false" customHeight="false" outlineLevel="0" collapsed="false">
      <c r="B25" s="4" t="s">
        <v>471</v>
      </c>
      <c r="C25" s="14" t="n">
        <f aca="false">'DOE IDIQ Analysis'!C29*1000</f>
        <v>12100000</v>
      </c>
      <c r="D25" s="14" t="n">
        <f aca="false">'DOE IDIQ Analysis'!C29*1000</f>
        <v>12100000</v>
      </c>
    </row>
  </sheetData>
  <mergeCells count="1">
    <mergeCell ref="B17:F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58"/>
    <col collapsed="false" customWidth="true" hidden="false" outlineLevel="0" max="3" min="3" style="0" width="16"/>
    <col collapsed="false" customWidth="true" hidden="false" outlineLevel="0" max="5" min="4" style="0" width="18"/>
    <col collapsed="false" customWidth="true" hidden="false" outlineLevel="0" max="6" min="6" style="0" width="14"/>
  </cols>
  <sheetData>
    <row r="1" customFormat="false" ht="17.35" hidden="false" customHeight="false" outlineLevel="0" collapsed="false">
      <c r="A1" s="1" t="s">
        <v>472</v>
      </c>
    </row>
    <row r="3" customFormat="false" ht="15" hidden="false" customHeight="false" outlineLevel="0" collapsed="false">
      <c r="A3" s="7" t="s">
        <v>473</v>
      </c>
      <c r="B3" s="7" t="s">
        <v>474</v>
      </c>
      <c r="C3" s="7" t="s">
        <v>475</v>
      </c>
      <c r="D3" s="7" t="s">
        <v>476</v>
      </c>
      <c r="E3" s="7" t="s">
        <v>477</v>
      </c>
      <c r="F3" s="7" t="s">
        <v>54</v>
      </c>
    </row>
    <row r="4" customFormat="false" ht="15" hidden="false" customHeight="false" outlineLevel="0" collapsed="false">
      <c r="A4" s="4" t="s">
        <v>478</v>
      </c>
      <c r="B4" s="4" t="s">
        <v>479</v>
      </c>
      <c r="C4" s="19" t="n">
        <v>6200</v>
      </c>
      <c r="D4" s="19" t="n">
        <v>6200</v>
      </c>
      <c r="E4" s="21" t="n">
        <f aca="false">C4-D4</f>
        <v>0</v>
      </c>
      <c r="F4" s="8" t="s">
        <v>480</v>
      </c>
    </row>
    <row r="5" customFormat="false" ht="15" hidden="false" customHeight="false" outlineLevel="0" collapsed="false">
      <c r="A5" s="4" t="s">
        <v>481</v>
      </c>
      <c r="B5" s="4" t="s">
        <v>482</v>
      </c>
      <c r="C5" s="19" t="n">
        <v>2800</v>
      </c>
      <c r="D5" s="19" t="n">
        <v>2800</v>
      </c>
      <c r="E5" s="21" t="n">
        <f aca="false">C5-D5</f>
        <v>0</v>
      </c>
      <c r="F5" s="8" t="s">
        <v>480</v>
      </c>
    </row>
    <row r="6" customFormat="false" ht="15" hidden="false" customHeight="false" outlineLevel="0" collapsed="false">
      <c r="A6" s="4" t="s">
        <v>483</v>
      </c>
      <c r="B6" s="4" t="s">
        <v>484</v>
      </c>
      <c r="C6" s="19" t="n">
        <v>3400</v>
      </c>
      <c r="D6" s="19" t="n">
        <v>3400</v>
      </c>
      <c r="E6" s="21" t="n">
        <f aca="false">C6-D6</f>
        <v>0</v>
      </c>
      <c r="F6" s="8" t="s">
        <v>480</v>
      </c>
    </row>
    <row r="7" customFormat="false" ht="15" hidden="false" customHeight="false" outlineLevel="0" collapsed="false">
      <c r="A7" s="4" t="s">
        <v>485</v>
      </c>
      <c r="B7" s="4" t="s">
        <v>486</v>
      </c>
      <c r="C7" s="19" t="n">
        <v>1900</v>
      </c>
      <c r="D7" s="19" t="n">
        <v>1900</v>
      </c>
      <c r="E7" s="21" t="n">
        <f aca="false">C7-D7</f>
        <v>0</v>
      </c>
      <c r="F7" s="8" t="s">
        <v>480</v>
      </c>
    </row>
    <row r="8" customFormat="false" ht="15" hidden="false" customHeight="false" outlineLevel="0" collapsed="false">
      <c r="A8" s="4" t="s">
        <v>487</v>
      </c>
      <c r="B8" s="4" t="s">
        <v>488</v>
      </c>
      <c r="C8" s="19" t="n">
        <v>4100</v>
      </c>
      <c r="D8" s="19" t="n">
        <v>4100</v>
      </c>
      <c r="E8" s="21" t="n">
        <f aca="false">C8-D8</f>
        <v>0</v>
      </c>
      <c r="F8" s="8" t="s">
        <v>480</v>
      </c>
    </row>
    <row r="9" customFormat="false" ht="15" hidden="false" customHeight="false" outlineLevel="0" collapsed="false">
      <c r="A9" s="4" t="s">
        <v>489</v>
      </c>
      <c r="B9" s="4" t="s">
        <v>490</v>
      </c>
      <c r="C9" s="19" t="n">
        <v>3600</v>
      </c>
      <c r="D9" s="19" t="n">
        <v>3200</v>
      </c>
      <c r="E9" s="21" t="n">
        <f aca="false">C9-D9</f>
        <v>400</v>
      </c>
      <c r="F9" s="8" t="s">
        <v>491</v>
      </c>
    </row>
    <row r="10" customFormat="false" ht="15" hidden="false" customHeight="false" outlineLevel="0" collapsed="false">
      <c r="A10" s="4" t="s">
        <v>492</v>
      </c>
      <c r="B10" s="4" t="s">
        <v>493</v>
      </c>
      <c r="C10" s="19" t="n">
        <v>1500</v>
      </c>
      <c r="D10" s="19" t="n">
        <v>1500</v>
      </c>
      <c r="E10" s="21" t="n">
        <f aca="false">C10-D10</f>
        <v>0</v>
      </c>
      <c r="F10" s="8" t="s">
        <v>480</v>
      </c>
    </row>
    <row r="11" customFormat="false" ht="15" hidden="false" customHeight="false" outlineLevel="0" collapsed="false">
      <c r="A11" s="4" t="s">
        <v>494</v>
      </c>
      <c r="B11" s="4" t="s">
        <v>495</v>
      </c>
      <c r="C11" s="19" t="n">
        <v>4800</v>
      </c>
      <c r="D11" s="19" t="n">
        <v>3100</v>
      </c>
      <c r="E11" s="21" t="n">
        <f aca="false">C11-D11</f>
        <v>1700</v>
      </c>
      <c r="F11" s="8" t="s">
        <v>491</v>
      </c>
    </row>
    <row r="12" customFormat="false" ht="15" hidden="false" customHeight="false" outlineLevel="0" collapsed="false">
      <c r="A12" s="4" t="s">
        <v>496</v>
      </c>
      <c r="B12" s="4" t="s">
        <v>497</v>
      </c>
      <c r="C12" s="19" t="n">
        <v>1200</v>
      </c>
      <c r="D12" s="19" t="n">
        <v>1200</v>
      </c>
      <c r="E12" s="21" t="n">
        <f aca="false">C12-D12</f>
        <v>0</v>
      </c>
      <c r="F12" s="8" t="s">
        <v>480</v>
      </c>
    </row>
    <row r="13" customFormat="false" ht="15" hidden="false" customHeight="false" outlineLevel="0" collapsed="false">
      <c r="A13" s="4" t="s">
        <v>498</v>
      </c>
      <c r="B13" s="4" t="s">
        <v>499</v>
      </c>
      <c r="C13" s="19" t="n">
        <v>2100</v>
      </c>
      <c r="D13" s="19" t="n">
        <v>2100</v>
      </c>
      <c r="E13" s="21" t="n">
        <f aca="false">C13-D13</f>
        <v>0</v>
      </c>
      <c r="F13" s="8" t="s">
        <v>480</v>
      </c>
    </row>
    <row r="14" customFormat="false" ht="15" hidden="false" customHeight="false" outlineLevel="0" collapsed="false">
      <c r="A14" s="4" t="s">
        <v>500</v>
      </c>
      <c r="B14" s="4" t="s">
        <v>501</v>
      </c>
      <c r="C14" s="19" t="n">
        <v>1600</v>
      </c>
      <c r="D14" s="19" t="n">
        <v>800</v>
      </c>
      <c r="E14" s="21" t="n">
        <f aca="false">C14-D14</f>
        <v>800</v>
      </c>
      <c r="F14" s="8" t="s">
        <v>491</v>
      </c>
    </row>
    <row r="15" customFormat="false" ht="15" hidden="false" customHeight="false" outlineLevel="0" collapsed="false">
      <c r="A15" s="4" t="s">
        <v>502</v>
      </c>
      <c r="B15" s="4" t="s">
        <v>503</v>
      </c>
      <c r="C15" s="19" t="n">
        <v>2500</v>
      </c>
      <c r="D15" s="19" t="n">
        <v>900</v>
      </c>
      <c r="E15" s="21" t="n">
        <f aca="false">C15-D15</f>
        <v>1600</v>
      </c>
      <c r="F15" s="8" t="s">
        <v>491</v>
      </c>
    </row>
    <row r="16" customFormat="false" ht="15" hidden="false" customHeight="false" outlineLevel="0" collapsed="false">
      <c r="A16" s="4" t="s">
        <v>504</v>
      </c>
      <c r="B16" s="4" t="s">
        <v>505</v>
      </c>
      <c r="C16" s="19" t="n">
        <v>2500</v>
      </c>
      <c r="D16" s="19" t="n">
        <v>500</v>
      </c>
      <c r="E16" s="21" t="n">
        <f aca="false">C16-D16</f>
        <v>2000</v>
      </c>
      <c r="F16" s="8" t="s">
        <v>491</v>
      </c>
    </row>
    <row r="17" customFormat="false" ht="15" hidden="false" customHeight="false" outlineLevel="0" collapsed="false">
      <c r="B17" s="10" t="s">
        <v>506</v>
      </c>
      <c r="C17" s="20" t="n">
        <f aca="false">SUM(C4:C16)</f>
        <v>38200</v>
      </c>
      <c r="D17" s="20" t="n">
        <f aca="false">SUM(D4:D16)</f>
        <v>31700</v>
      </c>
      <c r="E17" s="20" t="n">
        <f aca="false">SUM(E4:E16)</f>
        <v>6500</v>
      </c>
    </row>
    <row r="19" customFormat="false" ht="15" hidden="false" customHeight="true" outlineLevel="0" collapsed="false">
      <c r="B19" s="4" t="s">
        <v>507</v>
      </c>
      <c r="C19" s="19" t="n">
        <v>45000</v>
      </c>
      <c r="D19" s="9" t="s">
        <v>508</v>
      </c>
      <c r="E19" s="9"/>
      <c r="F19" s="9"/>
    </row>
    <row r="20" customFormat="false" ht="15" hidden="false" customHeight="true" outlineLevel="0" collapsed="false">
      <c r="B20" s="4" t="s">
        <v>509</v>
      </c>
      <c r="C20" s="19" t="n">
        <v>32700</v>
      </c>
      <c r="D20" s="9" t="s">
        <v>510</v>
      </c>
      <c r="E20" s="9"/>
      <c r="F20" s="9"/>
    </row>
    <row r="21" customFormat="false" ht="15" hidden="false" customHeight="true" outlineLevel="0" collapsed="false">
      <c r="B21" s="4" t="s">
        <v>511</v>
      </c>
      <c r="C21" s="21" t="n">
        <f aca="false">C19-C20</f>
        <v>12300</v>
      </c>
      <c r="D21" s="9" t="s">
        <v>512</v>
      </c>
      <c r="E21" s="9"/>
      <c r="F21" s="9"/>
    </row>
    <row r="22" customFormat="false" ht="23.85" hidden="false" customHeight="true" outlineLevel="0" collapsed="false">
      <c r="B22" s="4" t="s">
        <v>513</v>
      </c>
      <c r="C22" s="21" t="n">
        <f aca="false">C19-C17</f>
        <v>6800</v>
      </c>
      <c r="D22" s="9" t="s">
        <v>514</v>
      </c>
      <c r="E22" s="9"/>
      <c r="F22" s="9"/>
    </row>
    <row r="23" customFormat="false" ht="15" hidden="false" customHeight="true" outlineLevel="0" collapsed="false">
      <c r="B23" s="4" t="s">
        <v>515</v>
      </c>
      <c r="C23" s="19" t="n">
        <v>24400</v>
      </c>
      <c r="D23" s="9" t="s">
        <v>516</v>
      </c>
      <c r="E23" s="9"/>
      <c r="F23" s="9"/>
    </row>
    <row r="24" customFormat="false" ht="15" hidden="false" customHeight="false" outlineLevel="0" collapsed="false">
      <c r="B24" s="4" t="s">
        <v>517</v>
      </c>
      <c r="C24" s="27" t="n">
        <f aca="false">C23/12</f>
        <v>2033.33333333333</v>
      </c>
      <c r="D24" s="9"/>
      <c r="E24" s="9"/>
      <c r="F24" s="9"/>
    </row>
    <row r="25" customFormat="false" ht="15" hidden="false" customHeight="true" outlineLevel="0" collapsed="false">
      <c r="B25" s="4" t="s">
        <v>518</v>
      </c>
      <c r="C25" s="27" t="n">
        <f aca="false">C21/C24</f>
        <v>6.04918032786885</v>
      </c>
      <c r="D25" s="9" t="s">
        <v>519</v>
      </c>
      <c r="E25" s="9"/>
      <c r="F25" s="9"/>
    </row>
    <row r="26" customFormat="false" ht="15" hidden="false" customHeight="true" outlineLevel="0" collapsed="false">
      <c r="B26" s="4" t="s">
        <v>520</v>
      </c>
      <c r="C26" s="27" t="n">
        <f aca="false">C22/C24</f>
        <v>3.34426229508197</v>
      </c>
      <c r="D26" s="9" t="s">
        <v>519</v>
      </c>
      <c r="E26" s="9"/>
      <c r="F26" s="9"/>
    </row>
    <row r="27" customFormat="false" ht="15" hidden="false" customHeight="true" outlineLevel="0" collapsed="false">
      <c r="B27" s="4" t="s">
        <v>521</v>
      </c>
      <c r="C27" s="19" t="n">
        <v>23</v>
      </c>
      <c r="D27" s="9" t="s">
        <v>522</v>
      </c>
      <c r="E27" s="9"/>
      <c r="F27" s="9"/>
    </row>
    <row r="28" customFormat="false" ht="15" hidden="false" customHeight="false" outlineLevel="0" collapsed="false">
      <c r="B28" s="4" t="s">
        <v>523</v>
      </c>
      <c r="C28" s="27" t="n">
        <f aca="false">C27-C25</f>
        <v>16.9508196721311</v>
      </c>
      <c r="D28" s="9"/>
      <c r="E28" s="9"/>
      <c r="F28" s="9"/>
    </row>
    <row r="29" customFormat="false" ht="15" hidden="false" customHeight="true" outlineLevel="0" collapsed="false">
      <c r="B29" s="4" t="s">
        <v>524</v>
      </c>
      <c r="C29" s="21" t="n">
        <f aca="false">C23-C21</f>
        <v>12100</v>
      </c>
      <c r="D29" s="9" t="s">
        <v>525</v>
      </c>
      <c r="E29" s="9"/>
      <c r="F29" s="9"/>
    </row>
    <row r="30" customFormat="false" ht="15" hidden="false" customHeight="false" outlineLevel="0" collapsed="false">
      <c r="B30" s="4" t="s">
        <v>526</v>
      </c>
      <c r="C30" s="21" t="n">
        <f aca="false">C23-C22</f>
        <v>17600</v>
      </c>
      <c r="D30" s="9"/>
      <c r="E30" s="9"/>
      <c r="F30" s="9"/>
    </row>
    <row r="32" customFormat="false" ht="15" hidden="false" customHeight="true" outlineLevel="0" collapsed="false">
      <c r="B32" s="4" t="s">
        <v>527</v>
      </c>
      <c r="C32" s="21" t="n">
        <f aca="false">2100+15800+21600+24400</f>
        <v>63900</v>
      </c>
      <c r="D32" s="9" t="s">
        <v>528</v>
      </c>
      <c r="E32" s="9"/>
      <c r="F32" s="9"/>
    </row>
    <row r="33" customFormat="false" ht="15" hidden="false" customHeight="true" outlineLevel="0" collapsed="false">
      <c r="B33" s="4" t="s">
        <v>529</v>
      </c>
      <c r="C33" s="21" t="n">
        <f aca="false">2150+14800+21300+24448</f>
        <v>62698</v>
      </c>
      <c r="D33" s="9" t="s">
        <v>530</v>
      </c>
      <c r="E33" s="9"/>
      <c r="F33" s="9"/>
    </row>
    <row r="34" customFormat="false" ht="15" hidden="false" customHeight="true" outlineLevel="0" collapsed="false">
      <c r="B34" s="4" t="s">
        <v>531</v>
      </c>
      <c r="C34" s="21" t="n">
        <f aca="false">D17</f>
        <v>31700</v>
      </c>
      <c r="D34" s="9" t="s">
        <v>510</v>
      </c>
      <c r="E34" s="9"/>
      <c r="F34" s="9"/>
    </row>
    <row r="35" customFormat="false" ht="15" hidden="false" customHeight="true" outlineLevel="0" collapsed="false">
      <c r="B35" s="4" t="s">
        <v>532</v>
      </c>
      <c r="C35" s="21" t="n">
        <f aca="false">C32-C34</f>
        <v>32200</v>
      </c>
      <c r="D35" s="9" t="s">
        <v>533</v>
      </c>
      <c r="E35" s="9"/>
      <c r="F35" s="9"/>
    </row>
    <row r="36" customFormat="false" ht="15" hidden="false" customHeight="false" outlineLevel="0" collapsed="false">
      <c r="B36" s="4" t="s">
        <v>534</v>
      </c>
      <c r="C36" s="15" t="n">
        <f aca="false">C32/C19</f>
        <v>1.42</v>
      </c>
      <c r="D36" s="9"/>
      <c r="E36" s="9"/>
      <c r="F36" s="9"/>
    </row>
  </sheetData>
  <mergeCells count="17">
    <mergeCell ref="D19:F19"/>
    <mergeCell ref="D20:F20"/>
    <mergeCell ref="D21:F21"/>
    <mergeCell ref="D22:F22"/>
    <mergeCell ref="D23:F23"/>
    <mergeCell ref="D24:F24"/>
    <mergeCell ref="D25:F25"/>
    <mergeCell ref="D26:F26"/>
    <mergeCell ref="D27:F27"/>
    <mergeCell ref="D28:F28"/>
    <mergeCell ref="D29:F29"/>
    <mergeCell ref="D30:F30"/>
    <mergeCell ref="D32:F32"/>
    <mergeCell ref="D33:F33"/>
    <mergeCell ref="D34:F34"/>
    <mergeCell ref="D35:F35"/>
    <mergeCell ref="D36:F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5" min="3" style="0" width="48"/>
    <col collapsed="false" customWidth="true" hidden="false" outlineLevel="0" max="6" min="6" style="0" width="34"/>
  </cols>
  <sheetData>
    <row r="1" customFormat="false" ht="15" hidden="false" customHeight="false" outlineLevel="0" collapsed="false">
      <c r="A1" s="7" t="s">
        <v>535</v>
      </c>
      <c r="B1" s="7" t="s">
        <v>536</v>
      </c>
      <c r="C1" s="7" t="s">
        <v>537</v>
      </c>
      <c r="D1" s="7" t="s">
        <v>538</v>
      </c>
      <c r="E1" s="7" t="s">
        <v>539</v>
      </c>
      <c r="F1" s="7" t="s">
        <v>540</v>
      </c>
    </row>
    <row r="2" customFormat="false" ht="48" hidden="false" customHeight="true" outlineLevel="0" collapsed="false">
      <c r="A2" s="8" t="n">
        <v>1</v>
      </c>
      <c r="B2" s="4" t="s">
        <v>541</v>
      </c>
      <c r="C2" s="4" t="s">
        <v>542</v>
      </c>
      <c r="D2" s="4" t="s">
        <v>543</v>
      </c>
      <c r="E2" s="4" t="s">
        <v>544</v>
      </c>
      <c r="F2" s="4" t="s">
        <v>545</v>
      </c>
    </row>
    <row r="3" customFormat="false" ht="48" hidden="false" customHeight="true" outlineLevel="0" collapsed="false">
      <c r="A3" s="8" t="n">
        <v>2</v>
      </c>
      <c r="B3" s="4" t="s">
        <v>546</v>
      </c>
      <c r="C3" s="4" t="s">
        <v>547</v>
      </c>
      <c r="D3" s="4" t="s">
        <v>548</v>
      </c>
      <c r="E3" s="4" t="s">
        <v>549</v>
      </c>
      <c r="F3" s="4" t="s">
        <v>550</v>
      </c>
    </row>
    <row r="4" customFormat="false" ht="48" hidden="false" customHeight="true" outlineLevel="0" collapsed="false">
      <c r="A4" s="8" t="n">
        <v>3</v>
      </c>
      <c r="B4" s="4" t="s">
        <v>551</v>
      </c>
      <c r="C4" s="4" t="s">
        <v>552</v>
      </c>
      <c r="D4" s="4" t="s">
        <v>553</v>
      </c>
      <c r="E4" s="4" t="s">
        <v>554</v>
      </c>
      <c r="F4" s="4" t="s">
        <v>555</v>
      </c>
    </row>
    <row r="5" customFormat="false" ht="48" hidden="false" customHeight="true" outlineLevel="0" collapsed="false">
      <c r="A5" s="8" t="n">
        <v>4</v>
      </c>
      <c r="B5" s="4" t="s">
        <v>556</v>
      </c>
      <c r="C5" s="4" t="s">
        <v>557</v>
      </c>
      <c r="D5" s="4" t="s">
        <v>558</v>
      </c>
      <c r="E5" s="4" t="s">
        <v>559</v>
      </c>
      <c r="F5" s="4" t="s">
        <v>560</v>
      </c>
    </row>
    <row r="6" customFormat="false" ht="48" hidden="false" customHeight="true" outlineLevel="0" collapsed="false">
      <c r="A6" s="8" t="n">
        <v>5</v>
      </c>
      <c r="B6" s="4" t="s">
        <v>561</v>
      </c>
      <c r="C6" s="4" t="s">
        <v>562</v>
      </c>
      <c r="D6" s="4" t="s">
        <v>563</v>
      </c>
      <c r="E6" s="4" t="s">
        <v>564</v>
      </c>
      <c r="F6" s="4" t="s">
        <v>565</v>
      </c>
    </row>
    <row r="7" customFormat="false" ht="48" hidden="false" customHeight="true" outlineLevel="0" collapsed="false">
      <c r="A7" s="8" t="n">
        <v>6</v>
      </c>
      <c r="B7" s="4" t="s">
        <v>566</v>
      </c>
      <c r="C7" s="4" t="s">
        <v>567</v>
      </c>
      <c r="D7" s="4" t="s">
        <v>568</v>
      </c>
      <c r="E7" s="4" t="s">
        <v>569</v>
      </c>
      <c r="F7" s="4" t="s">
        <v>570</v>
      </c>
    </row>
    <row r="8" customFormat="false" ht="48" hidden="false" customHeight="true" outlineLevel="0" collapsed="false">
      <c r="A8" s="8" t="n">
        <v>7</v>
      </c>
      <c r="B8" s="4" t="s">
        <v>571</v>
      </c>
      <c r="C8" s="4" t="s">
        <v>572</v>
      </c>
      <c r="D8" s="4" t="s">
        <v>573</v>
      </c>
      <c r="E8" s="4" t="s">
        <v>569</v>
      </c>
      <c r="F8" s="4" t="s">
        <v>574</v>
      </c>
    </row>
    <row r="9" customFormat="false" ht="48" hidden="false" customHeight="true" outlineLevel="0" collapsed="false">
      <c r="A9" s="8" t="n">
        <v>8</v>
      </c>
      <c r="B9" s="4" t="s">
        <v>575</v>
      </c>
      <c r="C9" s="4" t="s">
        <v>576</v>
      </c>
      <c r="D9" s="4" t="s">
        <v>577</v>
      </c>
      <c r="E9" s="4" t="s">
        <v>578</v>
      </c>
      <c r="F9" s="4" t="s">
        <v>579</v>
      </c>
    </row>
    <row r="10" customFormat="false" ht="48" hidden="false" customHeight="true" outlineLevel="0" collapsed="false">
      <c r="A10" s="8" t="n">
        <v>9</v>
      </c>
      <c r="B10" s="4" t="s">
        <v>580</v>
      </c>
      <c r="C10" s="4" t="s">
        <v>581</v>
      </c>
      <c r="D10" s="4" t="s">
        <v>582</v>
      </c>
      <c r="E10" s="4" t="s">
        <v>583</v>
      </c>
      <c r="F10" s="4" t="s">
        <v>584</v>
      </c>
    </row>
    <row r="11" customFormat="false" ht="48" hidden="false" customHeight="true" outlineLevel="0" collapsed="false">
      <c r="A11" s="8" t="n">
        <v>10</v>
      </c>
      <c r="B11" s="4" t="s">
        <v>585</v>
      </c>
      <c r="C11" s="4" t="s">
        <v>586</v>
      </c>
      <c r="D11" s="4" t="s">
        <v>587</v>
      </c>
      <c r="E11" s="4" t="s">
        <v>569</v>
      </c>
      <c r="F11" s="4" t="s">
        <v>588</v>
      </c>
    </row>
    <row r="12" customFormat="false" ht="48" hidden="false" customHeight="true" outlineLevel="0" collapsed="false">
      <c r="A12" s="8" t="n">
        <v>11</v>
      </c>
      <c r="B12" s="4" t="s">
        <v>589</v>
      </c>
      <c r="C12" s="4" t="s">
        <v>590</v>
      </c>
      <c r="D12" s="4" t="s">
        <v>591</v>
      </c>
      <c r="E12" s="4" t="s">
        <v>592</v>
      </c>
      <c r="F12" s="4" t="s">
        <v>593</v>
      </c>
    </row>
    <row r="13" customFormat="false" ht="48" hidden="false" customHeight="true" outlineLevel="0" collapsed="false">
      <c r="A13" s="8" t="n">
        <v>12</v>
      </c>
      <c r="B13" s="4" t="s">
        <v>594</v>
      </c>
      <c r="C13" s="4" t="s">
        <v>595</v>
      </c>
      <c r="D13" s="4" t="s">
        <v>596</v>
      </c>
      <c r="E13" s="4" t="s">
        <v>597</v>
      </c>
      <c r="F13" s="4" t="s">
        <v>598</v>
      </c>
    </row>
    <row r="14" customFormat="false" ht="48" hidden="false" customHeight="true" outlineLevel="0" collapsed="false">
      <c r="A14" s="8" t="n">
        <v>13</v>
      </c>
      <c r="B14" s="4" t="s">
        <v>599</v>
      </c>
      <c r="C14" s="4" t="s">
        <v>600</v>
      </c>
      <c r="D14" s="4" t="s">
        <v>601</v>
      </c>
      <c r="E14" s="4" t="s">
        <v>569</v>
      </c>
      <c r="F14" s="4" t="s">
        <v>602</v>
      </c>
    </row>
    <row r="15" customFormat="false" ht="48" hidden="false" customHeight="true" outlineLevel="0" collapsed="false">
      <c r="A15" s="8" t="n">
        <v>14</v>
      </c>
      <c r="B15" s="4" t="s">
        <v>603</v>
      </c>
      <c r="C15" s="4" t="s">
        <v>604</v>
      </c>
      <c r="D15" s="4" t="s">
        <v>605</v>
      </c>
      <c r="E15" s="4" t="s">
        <v>569</v>
      </c>
      <c r="F15" s="4" t="s">
        <v>606</v>
      </c>
    </row>
    <row r="16" customFormat="false" ht="48" hidden="false" customHeight="true" outlineLevel="0" collapsed="false">
      <c r="A16" s="8" t="n">
        <v>15</v>
      </c>
      <c r="B16" s="4" t="s">
        <v>607</v>
      </c>
      <c r="C16" s="4" t="s">
        <v>608</v>
      </c>
      <c r="D16" s="4" t="s">
        <v>609</v>
      </c>
      <c r="E16" s="4" t="s">
        <v>569</v>
      </c>
      <c r="F16" s="4" t="s">
        <v>610</v>
      </c>
    </row>
    <row r="17" customFormat="false" ht="48" hidden="false" customHeight="true" outlineLevel="0" collapsed="false">
      <c r="A17" s="8" t="n">
        <v>16</v>
      </c>
      <c r="B17" s="4" t="s">
        <v>611</v>
      </c>
      <c r="C17" s="4" t="s">
        <v>612</v>
      </c>
      <c r="D17" s="4" t="s">
        <v>613</v>
      </c>
      <c r="E17" s="4" t="s">
        <v>614</v>
      </c>
      <c r="F17" s="4" t="s">
        <v>615</v>
      </c>
    </row>
    <row r="18" customFormat="false" ht="48" hidden="false" customHeight="true" outlineLevel="0" collapsed="false">
      <c r="A18" s="8" t="n">
        <v>17</v>
      </c>
      <c r="B18" s="4" t="s">
        <v>616</v>
      </c>
      <c r="C18" s="4" t="s">
        <v>617</v>
      </c>
      <c r="D18" s="4" t="s">
        <v>618</v>
      </c>
      <c r="E18" s="4" t="s">
        <v>569</v>
      </c>
      <c r="F18" s="4" t="s">
        <v>619</v>
      </c>
    </row>
    <row r="19" customFormat="false" ht="48" hidden="false" customHeight="true" outlineLevel="0" collapsed="false">
      <c r="A19" s="8" t="n">
        <v>18</v>
      </c>
      <c r="B19" s="4" t="s">
        <v>620</v>
      </c>
      <c r="C19" s="4" t="s">
        <v>621</v>
      </c>
      <c r="D19" s="4" t="s">
        <v>622</v>
      </c>
      <c r="E19" s="4" t="s">
        <v>569</v>
      </c>
      <c r="F19" s="4" t="s">
        <v>623</v>
      </c>
    </row>
    <row r="20" customFormat="false" ht="48" hidden="false" customHeight="true" outlineLevel="0" collapsed="false">
      <c r="A20" s="8" t="n">
        <v>19</v>
      </c>
      <c r="B20" s="4" t="s">
        <v>624</v>
      </c>
      <c r="C20" s="4" t="s">
        <v>625</v>
      </c>
      <c r="D20" s="4" t="s">
        <v>626</v>
      </c>
      <c r="E20" s="4" t="s">
        <v>569</v>
      </c>
      <c r="F20" s="4" t="s">
        <v>627</v>
      </c>
    </row>
    <row r="21" customFormat="false" ht="48" hidden="false" customHeight="true" outlineLevel="0" collapsed="false">
      <c r="A21" s="8" t="n">
        <v>20</v>
      </c>
      <c r="B21" s="4" t="s">
        <v>628</v>
      </c>
      <c r="C21" s="4" t="s">
        <v>629</v>
      </c>
      <c r="D21" s="4" t="s">
        <v>630</v>
      </c>
      <c r="E21" s="4" t="s">
        <v>569</v>
      </c>
      <c r="F21" s="4" t="s">
        <v>631</v>
      </c>
    </row>
    <row r="22" customFormat="false" ht="48" hidden="false" customHeight="true" outlineLevel="0" collapsed="false">
      <c r="A22" s="8" t="n">
        <v>21</v>
      </c>
      <c r="B22" s="4" t="s">
        <v>632</v>
      </c>
      <c r="C22" s="4" t="s">
        <v>633</v>
      </c>
      <c r="D22" s="4" t="s">
        <v>634</v>
      </c>
      <c r="E22" s="4" t="s">
        <v>569</v>
      </c>
      <c r="F22" s="4" t="s">
        <v>635</v>
      </c>
    </row>
    <row r="23" customFormat="false" ht="48" hidden="false" customHeight="true" outlineLevel="0" collapsed="false">
      <c r="A23" s="8" t="n">
        <v>22</v>
      </c>
      <c r="B23" s="4" t="s">
        <v>636</v>
      </c>
      <c r="C23" s="4" t="s">
        <v>637</v>
      </c>
      <c r="D23" s="4" t="s">
        <v>638</v>
      </c>
      <c r="E23" s="4" t="s">
        <v>639</v>
      </c>
      <c r="F23" s="4" t="s">
        <v>640</v>
      </c>
    </row>
    <row r="24" customFormat="false" ht="48" hidden="false" customHeight="true" outlineLevel="0" collapsed="false">
      <c r="A24" s="8" t="n">
        <v>23</v>
      </c>
      <c r="B24" s="4" t="s">
        <v>641</v>
      </c>
      <c r="C24" s="4" t="s">
        <v>642</v>
      </c>
      <c r="D24" s="4" t="s">
        <v>643</v>
      </c>
      <c r="E24" s="4" t="s">
        <v>569</v>
      </c>
      <c r="F24" s="4" t="s">
        <v>644</v>
      </c>
    </row>
    <row r="25" customFormat="false" ht="48" hidden="false" customHeight="true" outlineLevel="0" collapsed="false">
      <c r="A25" s="8" t="n">
        <v>24</v>
      </c>
      <c r="B25" s="4" t="s">
        <v>645</v>
      </c>
      <c r="C25" s="4" t="s">
        <v>646</v>
      </c>
      <c r="D25" s="4" t="s">
        <v>647</v>
      </c>
      <c r="E25" s="4" t="s">
        <v>569</v>
      </c>
      <c r="F25" s="4" t="s">
        <v>648</v>
      </c>
    </row>
    <row r="26" customFormat="false" ht="48" hidden="false" customHeight="true" outlineLevel="0" collapsed="false">
      <c r="A26" s="8" t="n">
        <v>25</v>
      </c>
      <c r="B26" s="4" t="s">
        <v>649</v>
      </c>
      <c r="C26" s="4" t="s">
        <v>650</v>
      </c>
      <c r="D26" s="4" t="s">
        <v>651</v>
      </c>
      <c r="E26" s="4" t="s">
        <v>569</v>
      </c>
      <c r="F26" s="4" t="s">
        <v>652</v>
      </c>
    </row>
    <row r="27" customFormat="false" ht="48" hidden="false" customHeight="true" outlineLevel="0" collapsed="false">
      <c r="A27" s="8" t="n">
        <v>26</v>
      </c>
      <c r="B27" s="4" t="s">
        <v>653</v>
      </c>
      <c r="C27" s="4" t="s">
        <v>654</v>
      </c>
      <c r="D27" s="4" t="s">
        <v>655</v>
      </c>
      <c r="E27" s="4" t="s">
        <v>569</v>
      </c>
      <c r="F27" s="4" t="s">
        <v>656</v>
      </c>
    </row>
    <row r="28" customFormat="false" ht="48" hidden="false" customHeight="true" outlineLevel="0" collapsed="false">
      <c r="A28" s="8" t="n">
        <v>27</v>
      </c>
      <c r="B28" s="4" t="s">
        <v>657</v>
      </c>
      <c r="C28" s="4" t="s">
        <v>658</v>
      </c>
      <c r="D28" s="4" t="s">
        <v>659</v>
      </c>
      <c r="E28" s="4" t="s">
        <v>569</v>
      </c>
      <c r="F28" s="4" t="s">
        <v>660</v>
      </c>
    </row>
    <row r="29" customFormat="false" ht="48" hidden="false" customHeight="true" outlineLevel="0" collapsed="false">
      <c r="A29" s="8" t="n">
        <v>28</v>
      </c>
      <c r="B29" s="4" t="s">
        <v>661</v>
      </c>
      <c r="C29" s="4" t="s">
        <v>662</v>
      </c>
      <c r="D29" s="4" t="s">
        <v>663</v>
      </c>
      <c r="E29" s="4" t="s">
        <v>664</v>
      </c>
      <c r="F29" s="4" t="s">
        <v>665</v>
      </c>
    </row>
    <row r="30" customFormat="false" ht="48" hidden="false" customHeight="true" outlineLevel="0" collapsed="false">
      <c r="A30" s="8" t="n">
        <v>29</v>
      </c>
      <c r="B30" s="4" t="s">
        <v>666</v>
      </c>
      <c r="C30" s="4" t="s">
        <v>667</v>
      </c>
      <c r="D30" s="4" t="s">
        <v>668</v>
      </c>
      <c r="E30" s="4" t="s">
        <v>569</v>
      </c>
      <c r="F30" s="4" t="s">
        <v>669</v>
      </c>
    </row>
    <row r="31" customFormat="false" ht="48" hidden="false" customHeight="true" outlineLevel="0" collapsed="false">
      <c r="A31" s="8" t="n">
        <v>30</v>
      </c>
      <c r="B31" s="4" t="s">
        <v>670</v>
      </c>
      <c r="C31" s="4" t="s">
        <v>671</v>
      </c>
      <c r="D31" s="4" t="s">
        <v>672</v>
      </c>
      <c r="E31" s="4" t="s">
        <v>673</v>
      </c>
      <c r="F31" s="4" t="s">
        <v>674</v>
      </c>
    </row>
    <row r="32" customFormat="false" ht="48" hidden="false" customHeight="true" outlineLevel="0" collapsed="false">
      <c r="A32" s="8" t="n">
        <v>31</v>
      </c>
      <c r="B32" s="4" t="s">
        <v>675</v>
      </c>
      <c r="C32" s="4" t="s">
        <v>676</v>
      </c>
      <c r="D32" s="4" t="s">
        <v>677</v>
      </c>
      <c r="E32" s="4" t="s">
        <v>569</v>
      </c>
      <c r="F32" s="4" t="s">
        <v>678</v>
      </c>
    </row>
    <row r="33" customFormat="false" ht="48" hidden="false" customHeight="true" outlineLevel="0" collapsed="false">
      <c r="A33" s="8" t="n">
        <v>32</v>
      </c>
      <c r="B33" s="4" t="s">
        <v>679</v>
      </c>
      <c r="C33" s="4" t="s">
        <v>680</v>
      </c>
      <c r="D33" s="4" t="s">
        <v>681</v>
      </c>
      <c r="E33" s="4" t="s">
        <v>682</v>
      </c>
      <c r="F33" s="4" t="s">
        <v>683</v>
      </c>
    </row>
    <row r="34" customFormat="false" ht="48" hidden="false" customHeight="true" outlineLevel="0" collapsed="false">
      <c r="A34" s="8" t="n">
        <v>33</v>
      </c>
      <c r="B34" s="4" t="s">
        <v>684</v>
      </c>
      <c r="C34" s="4" t="s">
        <v>685</v>
      </c>
      <c r="D34" s="4" t="s">
        <v>686</v>
      </c>
      <c r="E34" s="4" t="s">
        <v>687</v>
      </c>
      <c r="F34" s="4" t="s">
        <v>683</v>
      </c>
    </row>
    <row r="35" customFormat="false" ht="48" hidden="false" customHeight="true" outlineLevel="0" collapsed="false">
      <c r="A35" s="8" t="n">
        <v>34</v>
      </c>
      <c r="B35" s="4" t="s">
        <v>688</v>
      </c>
      <c r="C35" s="4" t="s">
        <v>689</v>
      </c>
      <c r="D35" s="4" t="s">
        <v>690</v>
      </c>
      <c r="E35" s="4" t="s">
        <v>691</v>
      </c>
      <c r="F35" s="4" t="s">
        <v>683</v>
      </c>
    </row>
    <row r="36" customFormat="false" ht="48" hidden="false" customHeight="true" outlineLevel="0" collapsed="false">
      <c r="A36" s="8" t="n">
        <v>35</v>
      </c>
      <c r="B36" s="4" t="s">
        <v>692</v>
      </c>
      <c r="C36" s="4" t="s">
        <v>693</v>
      </c>
      <c r="D36" s="4" t="s">
        <v>694</v>
      </c>
      <c r="E36" s="4" t="s">
        <v>569</v>
      </c>
      <c r="F36" s="4" t="s">
        <v>695</v>
      </c>
    </row>
    <row r="37" customFormat="false" ht="48" hidden="false" customHeight="true" outlineLevel="0" collapsed="false">
      <c r="A37" s="8" t="n">
        <v>36</v>
      </c>
      <c r="B37" s="4" t="s">
        <v>696</v>
      </c>
      <c r="C37" s="4" t="s">
        <v>697</v>
      </c>
      <c r="D37" s="4" t="s">
        <v>698</v>
      </c>
      <c r="E37" s="4" t="s">
        <v>569</v>
      </c>
      <c r="F37" s="4" t="s">
        <v>699</v>
      </c>
    </row>
    <row r="38" customFormat="false" ht="48" hidden="false" customHeight="true" outlineLevel="0" collapsed="false">
      <c r="A38" s="8" t="n">
        <v>37</v>
      </c>
      <c r="B38" s="4" t="s">
        <v>700</v>
      </c>
      <c r="C38" s="4" t="s">
        <v>701</v>
      </c>
      <c r="D38" s="4" t="s">
        <v>702</v>
      </c>
      <c r="E38" s="4" t="s">
        <v>703</v>
      </c>
      <c r="F38" s="4" t="s">
        <v>704</v>
      </c>
    </row>
    <row r="39" customFormat="false" ht="48" hidden="false" customHeight="true" outlineLevel="0" collapsed="false">
      <c r="A39" s="8" t="n">
        <v>38</v>
      </c>
      <c r="B39" s="4" t="s">
        <v>705</v>
      </c>
      <c r="C39" s="4" t="s">
        <v>706</v>
      </c>
      <c r="D39" s="4" t="s">
        <v>707</v>
      </c>
      <c r="E39" s="4" t="s">
        <v>569</v>
      </c>
      <c r="F39" s="4" t="s">
        <v>708</v>
      </c>
    </row>
    <row r="40" customFormat="false" ht="48" hidden="false" customHeight="true" outlineLevel="0" collapsed="false">
      <c r="A40" s="8" t="n">
        <v>39</v>
      </c>
      <c r="B40" s="4" t="s">
        <v>709</v>
      </c>
      <c r="C40" s="4" t="s">
        <v>710</v>
      </c>
      <c r="D40" s="4" t="s">
        <v>711</v>
      </c>
      <c r="E40" s="4" t="s">
        <v>569</v>
      </c>
      <c r="F40" s="4" t="s">
        <v>660</v>
      </c>
    </row>
    <row r="41" customFormat="false" ht="48" hidden="false" customHeight="true" outlineLevel="0" collapsed="false">
      <c r="A41" s="8" t="n">
        <v>40</v>
      </c>
      <c r="B41" s="4" t="s">
        <v>712</v>
      </c>
      <c r="C41" s="4" t="s">
        <v>713</v>
      </c>
      <c r="D41" s="4" t="s">
        <v>714</v>
      </c>
      <c r="E41" s="4" t="s">
        <v>715</v>
      </c>
      <c r="F41" s="4" t="s">
        <v>716</v>
      </c>
    </row>
    <row r="42" customFormat="false" ht="48" hidden="false" customHeight="true" outlineLevel="0" collapsed="false">
      <c r="A42" s="8" t="n">
        <v>41</v>
      </c>
      <c r="B42" s="4" t="s">
        <v>717</v>
      </c>
      <c r="C42" s="4" t="s">
        <v>718</v>
      </c>
      <c r="D42" s="4" t="s">
        <v>719</v>
      </c>
      <c r="E42" s="4" t="s">
        <v>720</v>
      </c>
      <c r="F42" s="4" t="s">
        <v>721</v>
      </c>
    </row>
    <row r="43" customFormat="false" ht="48" hidden="false" customHeight="true" outlineLevel="0" collapsed="false">
      <c r="A43" s="8" t="n">
        <v>42</v>
      </c>
      <c r="B43" s="4" t="s">
        <v>722</v>
      </c>
      <c r="C43" s="4" t="s">
        <v>723</v>
      </c>
      <c r="D43" s="4" t="s">
        <v>724</v>
      </c>
      <c r="E43" s="4" t="s">
        <v>569</v>
      </c>
      <c r="F43" s="4" t="s">
        <v>725</v>
      </c>
    </row>
    <row r="44" customFormat="false" ht="48" hidden="false" customHeight="true" outlineLevel="0" collapsed="false">
      <c r="A44" s="8" t="n">
        <v>43</v>
      </c>
      <c r="B44" s="4" t="s">
        <v>726</v>
      </c>
      <c r="C44" s="4" t="s">
        <v>727</v>
      </c>
      <c r="D44" s="4" t="s">
        <v>728</v>
      </c>
      <c r="E44" s="4" t="s">
        <v>569</v>
      </c>
      <c r="F44" s="4" t="s">
        <v>729</v>
      </c>
    </row>
    <row r="45" customFormat="false" ht="48" hidden="false" customHeight="true" outlineLevel="0" collapsed="false">
      <c r="A45" s="8" t="n">
        <v>44</v>
      </c>
      <c r="B45" s="4" t="s">
        <v>730</v>
      </c>
      <c r="C45" s="4" t="s">
        <v>731</v>
      </c>
      <c r="D45" s="4" t="s">
        <v>732</v>
      </c>
      <c r="E45" s="4" t="s">
        <v>733</v>
      </c>
      <c r="F45" s="4" t="s">
        <v>734</v>
      </c>
    </row>
  </sheetData>
  <autoFilter ref="A1:F45"/>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56"/>
    <col collapsed="false" customWidth="true" hidden="false" outlineLevel="0" max="4" min="4" style="0" width="46"/>
    <col collapsed="false" customWidth="true" hidden="false" outlineLevel="0" max="5" min="5" style="0" width="22"/>
    <col collapsed="false" customWidth="true" hidden="false" outlineLevel="0" max="6" min="6" style="0" width="18"/>
  </cols>
  <sheetData>
    <row r="1" customFormat="false" ht="15" hidden="false" customHeight="false" outlineLevel="0" collapsed="false">
      <c r="A1" s="7" t="s">
        <v>735</v>
      </c>
      <c r="B1" s="7" t="s">
        <v>736</v>
      </c>
      <c r="C1" s="7" t="s">
        <v>737</v>
      </c>
      <c r="D1" s="7" t="s">
        <v>738</v>
      </c>
      <c r="E1" s="7" t="s">
        <v>739</v>
      </c>
      <c r="F1" s="7" t="s">
        <v>740</v>
      </c>
    </row>
    <row r="2" customFormat="false" ht="45" hidden="false" customHeight="true" outlineLevel="0" collapsed="false">
      <c r="A2" s="4" t="s">
        <v>741</v>
      </c>
      <c r="B2" s="4" t="s">
        <v>742</v>
      </c>
      <c r="C2" s="4" t="s">
        <v>743</v>
      </c>
      <c r="D2" s="4" t="s">
        <v>744</v>
      </c>
      <c r="E2" s="4" t="s">
        <v>745</v>
      </c>
      <c r="F2" s="4" t="s">
        <v>746</v>
      </c>
    </row>
    <row r="3" customFormat="false" ht="45" hidden="false" customHeight="true" outlineLevel="0" collapsed="false">
      <c r="A3" s="4" t="s">
        <v>747</v>
      </c>
      <c r="B3" s="4" t="s">
        <v>748</v>
      </c>
      <c r="C3" s="4" t="s">
        <v>749</v>
      </c>
      <c r="D3" s="4" t="s">
        <v>750</v>
      </c>
      <c r="E3" s="4" t="s">
        <v>751</v>
      </c>
      <c r="F3" s="4" t="s">
        <v>510</v>
      </c>
    </row>
    <row r="4" customFormat="false" ht="45" hidden="false" customHeight="true" outlineLevel="0" collapsed="false">
      <c r="A4" s="4" t="s">
        <v>752</v>
      </c>
      <c r="B4" s="4" t="s">
        <v>753</v>
      </c>
      <c r="C4" s="4" t="s">
        <v>754</v>
      </c>
      <c r="D4" s="4" t="s">
        <v>755</v>
      </c>
      <c r="E4" s="4" t="s">
        <v>756</v>
      </c>
      <c r="F4" s="4" t="s">
        <v>757</v>
      </c>
    </row>
    <row r="5" customFormat="false" ht="45" hidden="false" customHeight="true" outlineLevel="0" collapsed="false">
      <c r="A5" s="4" t="s">
        <v>752</v>
      </c>
      <c r="B5" s="4" t="s">
        <v>758</v>
      </c>
      <c r="C5" s="4" t="s">
        <v>759</v>
      </c>
      <c r="D5" s="4" t="s">
        <v>760</v>
      </c>
      <c r="E5" s="4" t="s">
        <v>745</v>
      </c>
      <c r="F5" s="4" t="s">
        <v>761</v>
      </c>
    </row>
    <row r="6" customFormat="false" ht="45" hidden="false" customHeight="true" outlineLevel="0" collapsed="false">
      <c r="A6" s="4" t="s">
        <v>752</v>
      </c>
      <c r="B6" s="4" t="s">
        <v>762</v>
      </c>
      <c r="C6" s="4" t="s">
        <v>763</v>
      </c>
      <c r="D6" s="4" t="s">
        <v>764</v>
      </c>
      <c r="E6" s="4" t="s">
        <v>745</v>
      </c>
      <c r="F6" s="4" t="s">
        <v>765</v>
      </c>
    </row>
    <row r="7" customFormat="false" ht="45" hidden="false" customHeight="true" outlineLevel="0" collapsed="false">
      <c r="A7" s="4" t="s">
        <v>752</v>
      </c>
      <c r="B7" s="4" t="s">
        <v>766</v>
      </c>
      <c r="C7" s="4" t="s">
        <v>767</v>
      </c>
      <c r="D7" s="4" t="s">
        <v>768</v>
      </c>
      <c r="E7" s="4" t="s">
        <v>769</v>
      </c>
      <c r="F7" s="4" t="s">
        <v>770</v>
      </c>
    </row>
    <row r="8" customFormat="false" ht="45" hidden="false" customHeight="true" outlineLevel="0" collapsed="false">
      <c r="A8" s="4" t="s">
        <v>752</v>
      </c>
      <c r="B8" s="4" t="s">
        <v>771</v>
      </c>
      <c r="C8" s="4" t="s">
        <v>772</v>
      </c>
      <c r="D8" s="4" t="s">
        <v>768</v>
      </c>
      <c r="E8" s="4" t="s">
        <v>773</v>
      </c>
      <c r="F8" s="4" t="s">
        <v>774</v>
      </c>
    </row>
    <row r="9" customFormat="false" ht="45" hidden="false" customHeight="true" outlineLevel="0" collapsed="false">
      <c r="A9" s="4" t="s">
        <v>752</v>
      </c>
      <c r="B9" s="4" t="s">
        <v>775</v>
      </c>
      <c r="C9" s="4" t="s">
        <v>776</v>
      </c>
      <c r="D9" s="4" t="s">
        <v>768</v>
      </c>
      <c r="E9" s="4" t="s">
        <v>773</v>
      </c>
      <c r="F9" s="4" t="s">
        <v>777</v>
      </c>
    </row>
    <row r="10" customFormat="false" ht="45" hidden="false" customHeight="true" outlineLevel="0" collapsed="false">
      <c r="A10" s="4" t="s">
        <v>752</v>
      </c>
      <c r="B10" s="4" t="s">
        <v>778</v>
      </c>
      <c r="C10" s="4" t="s">
        <v>779</v>
      </c>
      <c r="D10" s="4" t="s">
        <v>768</v>
      </c>
      <c r="E10" s="4" t="s">
        <v>769</v>
      </c>
      <c r="F10" s="4" t="s">
        <v>780</v>
      </c>
    </row>
    <row r="11" customFormat="false" ht="45" hidden="false" customHeight="true" outlineLevel="0" collapsed="false">
      <c r="A11" s="4" t="s">
        <v>752</v>
      </c>
      <c r="B11" s="4" t="s">
        <v>781</v>
      </c>
      <c r="C11" s="4" t="s">
        <v>782</v>
      </c>
      <c r="D11" s="4" t="s">
        <v>783</v>
      </c>
      <c r="E11" s="4" t="s">
        <v>745</v>
      </c>
      <c r="F11" s="4" t="s">
        <v>784</v>
      </c>
    </row>
    <row r="12" customFormat="false" ht="45" hidden="false" customHeight="true" outlineLevel="0" collapsed="false">
      <c r="A12" s="4" t="s">
        <v>785</v>
      </c>
      <c r="B12" s="4" t="s">
        <v>786</v>
      </c>
      <c r="C12" s="4" t="s">
        <v>787</v>
      </c>
      <c r="D12" s="4" t="s">
        <v>788</v>
      </c>
      <c r="E12" s="4" t="s">
        <v>789</v>
      </c>
      <c r="F12" s="4" t="s">
        <v>790</v>
      </c>
    </row>
    <row r="13" customFormat="false" ht="45" hidden="false" customHeight="true" outlineLevel="0" collapsed="false">
      <c r="A13" s="4" t="s">
        <v>785</v>
      </c>
      <c r="B13" s="4" t="s">
        <v>791</v>
      </c>
      <c r="C13" s="4" t="s">
        <v>792</v>
      </c>
      <c r="D13" s="4" t="s">
        <v>793</v>
      </c>
      <c r="E13" s="4" t="s">
        <v>789</v>
      </c>
      <c r="F13" s="4" t="s">
        <v>794</v>
      </c>
    </row>
    <row r="14" customFormat="false" ht="45" hidden="false" customHeight="true" outlineLevel="0" collapsed="false">
      <c r="A14" s="4" t="s">
        <v>785</v>
      </c>
      <c r="B14" s="4" t="s">
        <v>795</v>
      </c>
      <c r="C14" s="4" t="s">
        <v>796</v>
      </c>
      <c r="D14" s="4" t="s">
        <v>797</v>
      </c>
      <c r="E14" s="4" t="s">
        <v>745</v>
      </c>
      <c r="F14" s="4" t="s">
        <v>798</v>
      </c>
    </row>
    <row r="15" customFormat="false" ht="45" hidden="false" customHeight="true" outlineLevel="0" collapsed="false">
      <c r="A15" s="4" t="s">
        <v>785</v>
      </c>
      <c r="B15" s="4" t="s">
        <v>799</v>
      </c>
      <c r="C15" s="4" t="s">
        <v>800</v>
      </c>
      <c r="D15" s="4" t="s">
        <v>801</v>
      </c>
      <c r="E15" s="4" t="s">
        <v>745</v>
      </c>
      <c r="F15" s="4" t="s">
        <v>802</v>
      </c>
    </row>
    <row r="16" customFormat="false" ht="45" hidden="false" customHeight="true" outlineLevel="0" collapsed="false">
      <c r="A16" s="4" t="s">
        <v>803</v>
      </c>
      <c r="B16" s="4" t="s">
        <v>804</v>
      </c>
      <c r="C16" s="4" t="s">
        <v>805</v>
      </c>
      <c r="D16" s="4" t="s">
        <v>806</v>
      </c>
      <c r="E16" s="4" t="s">
        <v>789</v>
      </c>
      <c r="F16" s="4" t="s">
        <v>807</v>
      </c>
    </row>
    <row r="17" customFormat="false" ht="45" hidden="false" customHeight="true" outlineLevel="0" collapsed="false">
      <c r="A17" s="4" t="s">
        <v>803</v>
      </c>
      <c r="B17" s="4" t="s">
        <v>808</v>
      </c>
      <c r="C17" s="4" t="s">
        <v>809</v>
      </c>
      <c r="D17" s="4" t="s">
        <v>810</v>
      </c>
      <c r="E17" s="4" t="s">
        <v>789</v>
      </c>
      <c r="F17" s="4" t="s">
        <v>811</v>
      </c>
    </row>
    <row r="18" customFormat="false" ht="45" hidden="false" customHeight="true" outlineLevel="0" collapsed="false">
      <c r="A18" s="4" t="s">
        <v>803</v>
      </c>
      <c r="B18" s="4" t="s">
        <v>812</v>
      </c>
      <c r="C18" s="4" t="s">
        <v>813</v>
      </c>
      <c r="D18" s="4" t="s">
        <v>814</v>
      </c>
      <c r="E18" s="4" t="s">
        <v>815</v>
      </c>
      <c r="F18" s="4" t="s">
        <v>816</v>
      </c>
    </row>
    <row r="19" customFormat="false" ht="45" hidden="false" customHeight="true" outlineLevel="0" collapsed="false">
      <c r="A19" s="4" t="s">
        <v>817</v>
      </c>
      <c r="B19" s="4" t="s">
        <v>818</v>
      </c>
      <c r="C19" s="4" t="s">
        <v>819</v>
      </c>
      <c r="D19" s="4" t="s">
        <v>820</v>
      </c>
      <c r="E19" s="4" t="s">
        <v>773</v>
      </c>
      <c r="F19" s="4" t="s">
        <v>821</v>
      </c>
    </row>
    <row r="20" customFormat="false" ht="45" hidden="false" customHeight="true" outlineLevel="0" collapsed="false">
      <c r="A20" s="4" t="s">
        <v>822</v>
      </c>
      <c r="B20" s="4" t="s">
        <v>823</v>
      </c>
      <c r="C20" s="4" t="s">
        <v>824</v>
      </c>
      <c r="D20" s="4" t="s">
        <v>825</v>
      </c>
      <c r="E20" s="4" t="s">
        <v>826</v>
      </c>
      <c r="F20" s="4" t="s">
        <v>827</v>
      </c>
    </row>
    <row r="21" customFormat="false" ht="45" hidden="false" customHeight="true" outlineLevel="0" collapsed="false">
      <c r="A21" s="4" t="s">
        <v>828</v>
      </c>
      <c r="B21" s="4" t="s">
        <v>829</v>
      </c>
      <c r="C21" s="4" t="s">
        <v>830</v>
      </c>
      <c r="D21" s="4" t="s">
        <v>831</v>
      </c>
      <c r="E21" s="4" t="s">
        <v>826</v>
      </c>
      <c r="F21" s="4" t="s">
        <v>832</v>
      </c>
    </row>
  </sheetData>
  <autoFilter ref="A1:F2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6"/>
    <col collapsed="false" customWidth="true" hidden="false" outlineLevel="0" max="4" min="4" style="0" width="110"/>
    <col collapsed="false" customWidth="true" hidden="false" outlineLevel="0" max="5" min="5" style="0" width="14"/>
  </cols>
  <sheetData>
    <row r="1" customFormat="false" ht="15" hidden="false" customHeight="false" outlineLevel="0" collapsed="false">
      <c r="A1" s="7" t="s">
        <v>535</v>
      </c>
      <c r="B1" s="7" t="s">
        <v>833</v>
      </c>
      <c r="C1" s="7" t="s">
        <v>834</v>
      </c>
      <c r="D1" s="7" t="s">
        <v>835</v>
      </c>
      <c r="E1" s="7" t="s">
        <v>54</v>
      </c>
    </row>
    <row r="2" customFormat="false" ht="30" hidden="false" customHeight="true" outlineLevel="0" collapsed="false">
      <c r="A2" s="8" t="n">
        <v>1</v>
      </c>
      <c r="B2" s="17" t="s">
        <v>19</v>
      </c>
      <c r="C2" s="4" t="s">
        <v>836</v>
      </c>
      <c r="D2" s="4" t="s">
        <v>837</v>
      </c>
      <c r="E2" s="8" t="s">
        <v>838</v>
      </c>
    </row>
    <row r="3" customFormat="false" ht="30" hidden="false" customHeight="true" outlineLevel="0" collapsed="false">
      <c r="A3" s="8" t="n">
        <v>2</v>
      </c>
      <c r="B3" s="17" t="s">
        <v>19</v>
      </c>
      <c r="C3" s="4" t="s">
        <v>836</v>
      </c>
      <c r="D3" s="4" t="s">
        <v>839</v>
      </c>
      <c r="E3" s="8" t="s">
        <v>838</v>
      </c>
    </row>
    <row r="4" customFormat="false" ht="30" hidden="false" customHeight="true" outlineLevel="0" collapsed="false">
      <c r="A4" s="8" t="n">
        <v>3</v>
      </c>
      <c r="B4" s="17" t="s">
        <v>19</v>
      </c>
      <c r="C4" s="4" t="s">
        <v>836</v>
      </c>
      <c r="D4" s="4" t="s">
        <v>840</v>
      </c>
      <c r="E4" s="8" t="s">
        <v>838</v>
      </c>
    </row>
    <row r="5" customFormat="false" ht="30" hidden="false" customHeight="true" outlineLevel="0" collapsed="false">
      <c r="A5" s="8" t="n">
        <v>4</v>
      </c>
      <c r="B5" s="17" t="s">
        <v>19</v>
      </c>
      <c r="C5" s="4" t="s">
        <v>836</v>
      </c>
      <c r="D5" s="4" t="s">
        <v>841</v>
      </c>
      <c r="E5" s="8" t="s">
        <v>838</v>
      </c>
    </row>
    <row r="6" customFormat="false" ht="30" hidden="false" customHeight="true" outlineLevel="0" collapsed="false">
      <c r="A6" s="8" t="n">
        <v>5</v>
      </c>
      <c r="B6" s="17" t="s">
        <v>19</v>
      </c>
      <c r="C6" s="4" t="s">
        <v>842</v>
      </c>
      <c r="D6" s="4" t="s">
        <v>843</v>
      </c>
      <c r="E6" s="8" t="s">
        <v>838</v>
      </c>
    </row>
    <row r="7" customFormat="false" ht="30" hidden="false" customHeight="true" outlineLevel="0" collapsed="false">
      <c r="A7" s="8" t="n">
        <v>6</v>
      </c>
      <c r="B7" s="17" t="s">
        <v>19</v>
      </c>
      <c r="C7" s="4" t="s">
        <v>56</v>
      </c>
      <c r="D7" s="4" t="s">
        <v>844</v>
      </c>
      <c r="E7" s="8" t="s">
        <v>838</v>
      </c>
    </row>
    <row r="8" customFormat="false" ht="30" hidden="false" customHeight="true" outlineLevel="0" collapsed="false">
      <c r="A8" s="8" t="n">
        <v>7</v>
      </c>
      <c r="B8" s="17" t="s">
        <v>21</v>
      </c>
      <c r="C8" s="4" t="s">
        <v>56</v>
      </c>
      <c r="D8" s="4" t="s">
        <v>845</v>
      </c>
      <c r="E8" s="8" t="s">
        <v>838</v>
      </c>
    </row>
    <row r="9" customFormat="false" ht="30" hidden="false" customHeight="true" outlineLevel="0" collapsed="false">
      <c r="A9" s="8" t="n">
        <v>8</v>
      </c>
      <c r="B9" s="17" t="s">
        <v>21</v>
      </c>
      <c r="C9" s="4" t="s">
        <v>56</v>
      </c>
      <c r="D9" s="4" t="s">
        <v>846</v>
      </c>
      <c r="E9" s="8" t="s">
        <v>838</v>
      </c>
    </row>
    <row r="10" customFormat="false" ht="30" hidden="false" customHeight="true" outlineLevel="0" collapsed="false">
      <c r="A10" s="8" t="n">
        <v>9</v>
      </c>
      <c r="B10" s="17" t="s">
        <v>21</v>
      </c>
      <c r="C10" s="4" t="s">
        <v>56</v>
      </c>
      <c r="D10" s="4" t="s">
        <v>847</v>
      </c>
      <c r="E10" s="8" t="s">
        <v>838</v>
      </c>
    </row>
    <row r="11" customFormat="false" ht="30" hidden="false" customHeight="true" outlineLevel="0" collapsed="false">
      <c r="A11" s="8" t="n">
        <v>10</v>
      </c>
      <c r="B11" s="17" t="s">
        <v>21</v>
      </c>
      <c r="C11" s="4" t="s">
        <v>56</v>
      </c>
      <c r="D11" s="4" t="s">
        <v>848</v>
      </c>
      <c r="E11" s="8" t="s">
        <v>838</v>
      </c>
    </row>
    <row r="12" customFormat="false" ht="30" hidden="false" customHeight="true" outlineLevel="0" collapsed="false">
      <c r="A12" s="8" t="n">
        <v>11</v>
      </c>
      <c r="B12" s="17" t="s">
        <v>21</v>
      </c>
      <c r="C12" s="4" t="s">
        <v>220</v>
      </c>
      <c r="D12" s="4" t="s">
        <v>849</v>
      </c>
      <c r="E12" s="8" t="s">
        <v>838</v>
      </c>
    </row>
    <row r="13" customFormat="false" ht="30" hidden="false" customHeight="true" outlineLevel="0" collapsed="false">
      <c r="A13" s="8" t="n">
        <v>12</v>
      </c>
      <c r="B13" s="17" t="s">
        <v>21</v>
      </c>
      <c r="C13" s="4" t="s">
        <v>850</v>
      </c>
      <c r="D13" s="4" t="s">
        <v>851</v>
      </c>
      <c r="E13" s="8" t="s">
        <v>838</v>
      </c>
    </row>
    <row r="14" customFormat="false" ht="30" hidden="false" customHeight="true" outlineLevel="0" collapsed="false">
      <c r="A14" s="8" t="n">
        <v>13</v>
      </c>
      <c r="B14" s="17" t="s">
        <v>21</v>
      </c>
      <c r="C14" s="4" t="s">
        <v>230</v>
      </c>
      <c r="D14" s="4" t="s">
        <v>852</v>
      </c>
      <c r="E14" s="8" t="s">
        <v>838</v>
      </c>
    </row>
    <row r="15" customFormat="false" ht="30" hidden="false" customHeight="true" outlineLevel="0" collapsed="false">
      <c r="A15" s="8" t="n">
        <v>14</v>
      </c>
      <c r="B15" s="17" t="s">
        <v>21</v>
      </c>
      <c r="C15" s="4" t="s">
        <v>853</v>
      </c>
      <c r="D15" s="4" t="s">
        <v>854</v>
      </c>
      <c r="E15" s="8" t="s">
        <v>838</v>
      </c>
    </row>
    <row r="16" customFormat="false" ht="30" hidden="false" customHeight="true" outlineLevel="0" collapsed="false">
      <c r="A16" s="8" t="n">
        <v>15</v>
      </c>
      <c r="B16" s="17" t="s">
        <v>21</v>
      </c>
      <c r="C16" s="4" t="s">
        <v>652</v>
      </c>
      <c r="D16" s="4" t="s">
        <v>855</v>
      </c>
      <c r="E16" s="8" t="s">
        <v>838</v>
      </c>
    </row>
    <row r="17" customFormat="false" ht="30" hidden="false" customHeight="true" outlineLevel="0" collapsed="false">
      <c r="A17" s="8" t="n">
        <v>16</v>
      </c>
      <c r="B17" s="17" t="s">
        <v>21</v>
      </c>
      <c r="C17" s="4" t="s">
        <v>856</v>
      </c>
      <c r="D17" s="4" t="s">
        <v>857</v>
      </c>
      <c r="E17" s="8" t="s">
        <v>838</v>
      </c>
    </row>
    <row r="18" customFormat="false" ht="30" hidden="false" customHeight="true" outlineLevel="0" collapsed="false">
      <c r="A18" s="8" t="n">
        <v>17</v>
      </c>
      <c r="B18" s="17" t="s">
        <v>21</v>
      </c>
      <c r="C18" s="4" t="s">
        <v>858</v>
      </c>
      <c r="D18" s="4" t="s">
        <v>859</v>
      </c>
      <c r="E18" s="8" t="s">
        <v>838</v>
      </c>
    </row>
    <row r="19" customFormat="false" ht="30" hidden="false" customHeight="true" outlineLevel="0" collapsed="false">
      <c r="A19" s="8" t="n">
        <v>18</v>
      </c>
      <c r="B19" s="17" t="s">
        <v>23</v>
      </c>
      <c r="C19" s="4" t="s">
        <v>860</v>
      </c>
      <c r="D19" s="4" t="s">
        <v>861</v>
      </c>
      <c r="E19" s="8" t="s">
        <v>838</v>
      </c>
    </row>
    <row r="20" customFormat="false" ht="30" hidden="false" customHeight="true" outlineLevel="0" collapsed="false">
      <c r="A20" s="8" t="n">
        <v>19</v>
      </c>
      <c r="B20" s="17" t="s">
        <v>23</v>
      </c>
      <c r="C20" s="4" t="s">
        <v>853</v>
      </c>
      <c r="D20" s="4" t="s">
        <v>862</v>
      </c>
      <c r="E20" s="8" t="s">
        <v>838</v>
      </c>
    </row>
    <row r="21" customFormat="false" ht="30" hidden="false" customHeight="true" outlineLevel="0" collapsed="false">
      <c r="A21" s="8" t="n">
        <v>20</v>
      </c>
      <c r="B21" s="17" t="s">
        <v>23</v>
      </c>
      <c r="C21" s="4" t="s">
        <v>863</v>
      </c>
      <c r="D21" s="4" t="s">
        <v>864</v>
      </c>
      <c r="E21" s="8" t="s">
        <v>838</v>
      </c>
    </row>
    <row r="22" customFormat="false" ht="30" hidden="false" customHeight="true" outlineLevel="0" collapsed="false">
      <c r="A22" s="8" t="n">
        <v>21</v>
      </c>
      <c r="B22" s="17" t="s">
        <v>23</v>
      </c>
      <c r="C22" s="4" t="s">
        <v>865</v>
      </c>
      <c r="D22" s="4" t="s">
        <v>866</v>
      </c>
      <c r="E22" s="8" t="s">
        <v>838</v>
      </c>
    </row>
    <row r="23" customFormat="false" ht="30" hidden="false" customHeight="true" outlineLevel="0" collapsed="false">
      <c r="A23" s="8" t="n">
        <v>22</v>
      </c>
      <c r="B23" s="17" t="s">
        <v>23</v>
      </c>
      <c r="C23" s="4" t="s">
        <v>865</v>
      </c>
      <c r="D23" s="4" t="s">
        <v>867</v>
      </c>
      <c r="E23" s="8" t="s">
        <v>838</v>
      </c>
    </row>
    <row r="24" customFormat="false" ht="30" hidden="false" customHeight="true" outlineLevel="0" collapsed="false">
      <c r="A24" s="8" t="n">
        <v>23</v>
      </c>
      <c r="B24" s="17" t="s">
        <v>23</v>
      </c>
      <c r="C24" s="4" t="s">
        <v>868</v>
      </c>
      <c r="D24" s="4" t="s">
        <v>869</v>
      </c>
      <c r="E24" s="8" t="s">
        <v>838</v>
      </c>
    </row>
    <row r="25" customFormat="false" ht="30" hidden="false" customHeight="true" outlineLevel="0" collapsed="false">
      <c r="A25" s="8" t="n">
        <v>24</v>
      </c>
      <c r="B25" s="17" t="s">
        <v>23</v>
      </c>
      <c r="C25" s="4" t="s">
        <v>870</v>
      </c>
      <c r="D25" s="4" t="s">
        <v>871</v>
      </c>
      <c r="E25" s="8" t="s">
        <v>838</v>
      </c>
    </row>
    <row r="26" customFormat="false" ht="30" hidden="false" customHeight="true" outlineLevel="0" collapsed="false">
      <c r="A26" s="8" t="n">
        <v>25</v>
      </c>
      <c r="B26" s="17" t="s">
        <v>23</v>
      </c>
      <c r="C26" s="4" t="s">
        <v>340</v>
      </c>
      <c r="D26" s="4" t="s">
        <v>872</v>
      </c>
      <c r="E26" s="8" t="s">
        <v>838</v>
      </c>
    </row>
    <row r="27" customFormat="false" ht="30" hidden="false" customHeight="true" outlineLevel="0" collapsed="false">
      <c r="A27" s="8" t="n">
        <v>26</v>
      </c>
      <c r="B27" s="17" t="s">
        <v>23</v>
      </c>
      <c r="C27" s="4" t="s">
        <v>836</v>
      </c>
      <c r="D27" s="4" t="s">
        <v>873</v>
      </c>
      <c r="E27" s="8" t="s">
        <v>838</v>
      </c>
    </row>
    <row r="28" customFormat="false" ht="30" hidden="false" customHeight="true" outlineLevel="0" collapsed="false">
      <c r="A28" s="8" t="n">
        <v>27</v>
      </c>
      <c r="B28" s="17" t="s">
        <v>25</v>
      </c>
      <c r="C28" s="4" t="s">
        <v>354</v>
      </c>
      <c r="D28" s="4" t="s">
        <v>874</v>
      </c>
      <c r="E28" s="8" t="s">
        <v>838</v>
      </c>
    </row>
  </sheetData>
  <autoFilter ref="A1:E28"/>
  <conditionalFormatting sqref="B2:B28">
    <cfRule type="cellIs" priority="2" operator="equal" aboveAverage="0" equalAverage="0" bottom="0" percent="0" rank="0" text="" dxfId="0">
      <formula>"Critical"</formula>
    </cfRule>
    <cfRule type="cellIs" priority="3" operator="equal" aboveAverage="0" equalAverage="0" bottom="0" percent="0" rank="0" text="" dxfId="1">
      <formula>"High"</formula>
    </cfRule>
    <cfRule type="cellIs" priority="4" operator="equal" aboveAverage="0" equalAverage="0" bottom="0" percent="0" rank="0" text="" dxfId="2">
      <formula>"Medium"</formula>
    </cfRule>
    <cfRule type="cellIs" priority="5" operator="equal" aboveAverage="0" equalAverage="0" bottom="0" percent="0" rank="0" text="" dxfId="3">
      <formula>"Low"</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2026-10-15T07:17:36Z</dcterms:created>
  <dc:creator>openpyxl</dc:creator>
  <dc:description/>
  <dc:language>en-US</dc:language>
  <cp:lastModifiedBy/>
  <dcterms:modified xsi:type="dcterms:W3CDTF">2026-10-15T07:17:37Z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