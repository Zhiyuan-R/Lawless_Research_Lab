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Ballot Detail" sheetId="2" state="visible" r:id="rId4"/>
    <sheet name="Math Checks" sheetId="3" state="visible" r:id="rId5"/>
    <sheet name="Irregularities" sheetId="4" state="visible" r:id="rId6"/>
    <sheet name="Sensitivity" sheetId="5" state="visible" r:id="rId7"/>
    <sheet name="Notes &amp; Sources" sheetId="6" state="visible" r:id="rId8"/>
  </sheets>
  <definedNames>
    <definedName function="false" hidden="true" localSheetId="1" name="_xlnm._FilterDatabase" vbProcedure="false">'Ballot Detail'!$A$4:$M$89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<sst xmlns="http://schemas.openxmlformats.org/spreadsheetml/2006/main" count="1230" uniqueCount="715">
  <si>
    <t xml:space="preserve">Ridgeline Hospitality Group, Inc. - Ballot Tabulation Summary and Verification</t>
  </si>
  <si>
    <t xml:space="preserve">Case No. 24-10387-KBO (Bankr. D. Del.) | Second Amended Plan (Dkt. No. 412) | Voting Agent: Clearwater Advisory Group LLC | Certification dated Nov. 27, 2024 | Voting Deadline: Nov. 22, 2024, 5:00 p.m. ET | Confirmation Hearing: Dec. 16, 2024 | Objection Deadline: Dec. 9, 2024, 4:00 p.m. ET</t>
  </si>
  <si>
    <t xml:space="preserve">Legend: blue = figure transcribed from source document; black = formula; green = cross-sheet formula. Percentages recomputed to 4 decimal places for comparison with the 2-decimal figures in the Certification.</t>
  </si>
  <si>
    <t xml:space="preserve">Metric</t>
  </si>
  <si>
    <t xml:space="preserve">Source</t>
  </si>
  <si>
    <t xml:space="preserve">Class 2</t>
  </si>
  <si>
    <t xml:space="preserve">Class 3</t>
  </si>
  <si>
    <t xml:space="preserve">Class 4</t>
  </si>
  <si>
    <t xml:space="preserve">Class 5</t>
  </si>
  <si>
    <t xml:space="preserve">Verification comment</t>
  </si>
  <si>
    <t xml:space="preserve">A. AS REPORTED - Certification Section II.B (Aggregate Voting Summary)</t>
  </si>
  <si>
    <t xml:space="preserve">Class description</t>
  </si>
  <si>
    <t xml:space="preserve">Cert. s.II.A-B</t>
  </si>
  <si>
    <t xml:space="preserve">First Lien Secured Claims</t>
  </si>
  <si>
    <t xml:space="preserve">Second Lien Secured Claims</t>
  </si>
  <si>
    <t xml:space="preserve">General Unsecured Claims</t>
  </si>
  <si>
    <t xml:space="preserve">Subordinated / Penalty Claims</t>
  </si>
  <si>
    <t xml:space="preserve">Total allowed claims ($)</t>
  </si>
  <si>
    <t xml:space="preserve">Cert. s.II.B; SPO para. 6</t>
  </si>
  <si>
    <t xml:space="preserve">Total holders</t>
  </si>
  <si>
    <t xml:space="preserve">Ballots received</t>
  </si>
  <si>
    <t xml:space="preserve">Cert. s.II.B</t>
  </si>
  <si>
    <t xml:space="preserve">Accepting - count</t>
  </si>
  <si>
    <t xml:space="preserve">Accepting - amount ($)</t>
  </si>
  <si>
    <t xml:space="preserve">Class 4: Section V.B sub-total and Term Sheet s.3 report $24,318,400 (see MC-C4-01). Section II figure ties to the 72.86% and $33,463,000 reported here.</t>
  </si>
  <si>
    <t xml:space="preserve">Rejecting - count</t>
  </si>
  <si>
    <t xml:space="preserve">Rejecting - amount ($)</t>
  </si>
  <si>
    <t xml:space="preserve">Excluded - count</t>
  </si>
  <si>
    <t xml:space="preserve">Class 2 = Garnet Creek (designated, Dkt. 461); Class 3 = Ridgeview (late). Class 4 shows 0 excluded although 287 received vs 280 counted.</t>
  </si>
  <si>
    <t xml:space="preserve">Excluded - amount ($)</t>
  </si>
  <si>
    <t xml:space="preserve">Non-voting - count</t>
  </si>
  <si>
    <t xml:space="preserve">Non-voting - amount ($)</t>
  </si>
  <si>
    <t xml:space="preserve">Counted ballots</t>
  </si>
  <si>
    <t xml:space="preserve">Counted claims ($)</t>
  </si>
  <si>
    <t xml:space="preserve">Acceptance % - number</t>
  </si>
  <si>
    <t xml:space="preserve">Acceptance % - dollar</t>
  </si>
  <si>
    <t xml:space="preserve">Class result (as certified)</t>
  </si>
  <si>
    <t xml:space="preserve">Cert. s.II.B-C</t>
  </si>
  <si>
    <t xml:space="preserve">ACCEPTS</t>
  </si>
  <si>
    <t xml:space="preserve">REJECTS</t>
  </si>
  <si>
    <t xml:space="preserve">B. RECOMPUTED - independent recalculation from Section A components</t>
  </si>
  <si>
    <t xml:space="preserve">Counted ballots (accept + reject)</t>
  </si>
  <si>
    <t xml:space="preserve">Recomputed</t>
  </si>
  <si>
    <t xml:space="preserve">Counted claims $ (accept $ + reject $)</t>
  </si>
  <si>
    <t xml:space="preserve">Numerosity test: &gt; 1/2 in number (s.1126(c))</t>
  </si>
  <si>
    <t xml:space="preserve">Amount test: &gt;= 2/3 in amount (s.1126(c))</t>
  </si>
  <si>
    <t xml:space="preserve">Class result (recomputed)</t>
  </si>
  <si>
    <t xml:space="preserve">Result agrees with Certification?</t>
  </si>
  <si>
    <t xml:space="preserve">Check</t>
  </si>
  <si>
    <t xml:space="preserve">Counted ballots tie to reported?</t>
  </si>
  <si>
    <t xml:space="preserve">Counted claims tie to reported?</t>
  </si>
  <si>
    <t xml:space="preserve">Percentages tie to reported (2dp)?</t>
  </si>
  <si>
    <t xml:space="preserve">Holder roll-forward (acc + rej + excl + non-voting)</t>
  </si>
  <si>
    <t xml:space="preserve">  Variance vs total holders</t>
  </si>
  <si>
    <t xml:space="preserve">Class 4: 7 holders unaccounted for (312 holders vs 305 classified).</t>
  </si>
  <si>
    <t xml:space="preserve">Ballot roll-forward (counted + excluded)</t>
  </si>
  <si>
    <t xml:space="preserve">  Variance vs ballots received</t>
  </si>
  <si>
    <t xml:space="preserve">Class 4: 287 ballots received but only 280 counted and 0 excluded - 7 ballots not explained (the duplicate is from a holder already counted; provisional ballots are a subset of the 280).</t>
  </si>
  <si>
    <t xml:space="preserve">Dollar roll-forward (acc $ + rej $ + excl $ + non-voting $)</t>
  </si>
  <si>
    <t xml:space="preserve">  Variance vs total allowed claims</t>
  </si>
  <si>
    <t xml:space="preserve">Class 4: $827,000 unaccounted for ($890,000 using the s.V.B sub-total). Certification provides verification of claim totals for Classes 2, 3 and 5 only - none for Class 4.</t>
  </si>
  <si>
    <t xml:space="preserve">Roll-forward status</t>
  </si>
  <si>
    <t xml:space="preserve">Numerosity cushion: accepting ballots above bare majority</t>
  </si>
  <si>
    <t xml:space="preserve">Negative = number of additional accepting ballots (with no new rejects) the class falls short.</t>
  </si>
  <si>
    <t xml:space="preserve">Amount cushion: accepting $ above 2/3 threshold</t>
  </si>
  <si>
    <t xml:space="preserve">Negative = shortfall in accepting $ against 2/3 of counted claims.</t>
  </si>
  <si>
    <t xml:space="preserve">C. DETAIL TIE-OUT - Section A vs ballot-by-ballot schedules (Ballot Detail tab)</t>
  </si>
  <si>
    <t xml:space="preserve">Detail: accepting - count</t>
  </si>
  <si>
    <t xml:space="preserve">Ballot Detail tab</t>
  </si>
  <si>
    <t xml:space="preserve">  Variance vs Section A</t>
  </si>
  <si>
    <t xml:space="preserve">n/a - partial schedule</t>
  </si>
  <si>
    <t xml:space="preserve">Detail: accepting - amount ($)</t>
  </si>
  <si>
    <t xml:space="preserve">Detail: rejecting - count</t>
  </si>
  <si>
    <t xml:space="preserve">Detail: rejecting - amount ($)</t>
  </si>
  <si>
    <t xml:space="preserve">Detail: no ballot - count</t>
  </si>
  <si>
    <t xml:space="preserve">Detail: no ballot - amount ($)</t>
  </si>
  <si>
    <t xml:space="preserve">Detail: total allowed claims on schedule ($)</t>
  </si>
  <si>
    <t xml:space="preserve">Class 4 Section V.B reported sub-totals (E = accept $ / F = counted $)</t>
  </si>
  <si>
    <t xml:space="preserve">Cert. s.V.B</t>
  </si>
  <si>
    <t xml:space="preserve">Column E = accepting $; column F = total counted $ (both per Section V.B sub-total table). Term Sheet s.3 repeats these figures.</t>
  </si>
  <si>
    <t xml:space="preserve">  Variance: s.V.B vs s.II.B (accept $ / counted $)</t>
  </si>
  <si>
    <t xml:space="preserve">$63,000 difference in both - consistent with a digit transposition (24,381,400 vs 24,318,400). Outcome unaffected (72.86% vs 72.81%).</t>
  </si>
  <si>
    <t xml:space="preserve">Class 4 printed-sample status</t>
  </si>
  <si>
    <t xml:space="preserve">40 of 281 line items printed; 241 omitted - full tie-out NOT possible</t>
  </si>
  <si>
    <t xml:space="preserve">D. OVERALL RESULT</t>
  </si>
  <si>
    <t xml:space="preserve">Voting classes accepting (as certified and as recomputed)</t>
  </si>
  <si>
    <t xml:space="preserve">Class 2 and Class 4 accept; Class 3 and Class 5 reject. Recomputation confirms each class result.</t>
  </si>
  <si>
    <t xml:space="preserve">Deemed classes</t>
  </si>
  <si>
    <t xml:space="preserve">Classes 1 and 6 deemed to accept (s.1126(f)); Classes 7 and 8 deemed to reject (s.1126(g)).</t>
  </si>
  <si>
    <t xml:space="preserve">s.1129(a)(10) (one accepting impaired class, excluding insiders)</t>
  </si>
  <si>
    <t xml:space="preserve">Satisfied by Class 2 (no insider claims identified; 90.00% / 94.97%) and by Class 4 on an insider-excluded basis (see Sensitivity S4-04 to S4-06).</t>
  </si>
  <si>
    <t xml:space="preserve">Confirmation path</t>
  </si>
  <si>
    <t xml:space="preserve">Cram-down under s.1129(b) required as to Classes 3 and 5 (and deemed-rejecting Classes 7 and 8).</t>
  </si>
  <si>
    <t xml:space="preserve">Outcome-determinative issues found?</t>
  </si>
  <si>
    <t xml:space="preserve">None. No identified discrepancy or irregularity, alone or in the combined adverse case, changes any class result (see Sensitivity tab). Class 4 is the only class with a thin margin: the combined adverse case (S4-09) leaves the amount test at 69.06% vs 66.67%, and Class 4 can absorb only ~$6.2M of accepting-claim removals. The discrepancies nonetheless warrant a corrected / supplemental certification before the Dec. 16, 2024 hearing.</t>
  </si>
  <si>
    <t xml:space="preserve">Items requiring correction before Confirmation Hearing</t>
  </si>
  <si>
    <t xml:space="preserve">(1) Class 4 $63,000 accept-amount conflict; (2) 7 Class 4 ballots / $827,000 unreconciled; (3) SPO para. 24 results excluding provisional ballots not reported; (4) insider (Ridgeline Management Holdings LLC) ballot and Claim No. 203 conflict not disclosed; (5) incomplete Class 4 schedule; (6) incorrect SPO paragraph citations and other cross-document errors (see Irregularities tab).</t>
  </si>
  <si>
    <t xml:space="preserve">Ridgeline Hospitality Group, Inc. (Case No. 24-10387-KBO) - Ballot-by-Ballot Detail (Voting Classes 2-5)</t>
  </si>
  <si>
    <t xml:space="preserve">Source: Clearwater Certification of Ballot Tabulation dated Nov. 27, 2024, Sections III.B, IV.B, V.B, VI.B and Exhibits A-B. Class 4 lists only the 40 line items printed in the Certification (of 281); the remaining 241 line items were omitted by the Voting Agent and must be obtained to complete the tie-out.</t>
  </si>
  <si>
    <t xml:space="preserve">Class</t>
  </si>
  <si>
    <t xml:space="preserve">Line No.</t>
  </si>
  <si>
    <t xml:space="preserve">Holder Name</t>
  </si>
  <si>
    <t xml:space="preserve">Claim No.</t>
  </si>
  <si>
    <t xml:space="preserve">Allowed / Filed Claim Amount ($)</t>
  </si>
  <si>
    <t xml:space="preserve">Vote as Reported</t>
  </si>
  <si>
    <t xml:space="preserve">Tabulation Status</t>
  </si>
  <si>
    <t xml:space="preserve">Counted in s.1126(c) Tally?</t>
  </si>
  <si>
    <t xml:space="preserve">Provisional (Exh. B)?</t>
  </si>
  <si>
    <t xml:space="preserve">Objection Dkt.</t>
  </si>
  <si>
    <t xml:space="preserve">Objection Hearing</t>
  </si>
  <si>
    <t xml:space="preserve">Flag</t>
  </si>
  <si>
    <t xml:space="preserve">Notes / Source</t>
  </si>
  <si>
    <t xml:space="preserve">Stonebridge Capital Partners, LP</t>
  </si>
  <si>
    <t xml:space="preserve">Accept</t>
  </si>
  <si>
    <t xml:space="preserve">No</t>
  </si>
  <si>
    <t xml:space="preserve">First Lien Agent; 60.7% of facility</t>
  </si>
  <si>
    <t xml:space="preserve">Evergreen Institutional Credit Fund</t>
  </si>
  <si>
    <t xml:space="preserve">Irregular - unmarked ballot (IRR-04)</t>
  </si>
  <si>
    <t xml:space="preserve">IRREGULAR: no box checked; margin note "WE CONSENT TO THE PLAN" - counted as acceptance (Exh. A, Item 4)</t>
  </si>
  <si>
    <t xml:space="preserve">Garnet Creek Capital Fund II, LP</t>
  </si>
  <si>
    <t xml:space="preserve">Designated (ballot cast: Reject)</t>
  </si>
  <si>
    <t xml:space="preserve">Designated</t>
  </si>
  <si>
    <t xml:space="preserve">Designated s.1126(e) (IRR-01)</t>
  </si>
  <si>
    <t xml:space="preserve">Designated under s.1126(e), Dkt. No. 461 (Nov 8, 2024); excluded from numerator and denominator (Exh. A, Item 1)</t>
  </si>
  <si>
    <t xml:space="preserve">Briarcliff Credit Opportunities LLC</t>
  </si>
  <si>
    <t xml:space="preserve">Reject</t>
  </si>
  <si>
    <t xml:space="preserve">Oakmont Fixed Income Fund LP</t>
  </si>
  <si>
    <t xml:space="preserve">Ashford Capital Management, Inc.</t>
  </si>
  <si>
    <t xml:space="preserve">Beacon Ridge Lending Partners LLC</t>
  </si>
  <si>
    <t xml:space="preserve">Graystone Credit Advisors LP</t>
  </si>
  <si>
    <t xml:space="preserve">Northfield Institutional Investors LLC</t>
  </si>
  <si>
    <t xml:space="preserve">Whitehall Structured Finance Fund I</t>
  </si>
  <si>
    <t xml:space="preserve">Cascade Capital Solutions, LP</t>
  </si>
  <si>
    <t xml:space="preserve">Brookhaven Fixed Income Fund LLC</t>
  </si>
  <si>
    <t xml:space="preserve">Highpoint Credit Partners, LP</t>
  </si>
  <si>
    <t xml:space="preserve">Thorndale Asset Management LLC</t>
  </si>
  <si>
    <t xml:space="preserve">Lakeview Senior Loan Fund LP</t>
  </si>
  <si>
    <t xml:space="preserve">Ironwood Capital Markets, Inc.</t>
  </si>
  <si>
    <t xml:space="preserve">Pinecrest Funding LLC</t>
  </si>
  <si>
    <t xml:space="preserve">Sterling Bridge Capital Fund LP</t>
  </si>
  <si>
    <t xml:space="preserve">Waverly Institutional Partners LLC</t>
  </si>
  <si>
    <t xml:space="preserve">Aldersgate Lending Partners LLC</t>
  </si>
  <si>
    <t xml:space="preserve">No Ballot Received</t>
  </si>
  <si>
    <t xml:space="preserve">No Ballot</t>
  </si>
  <si>
    <t xml:space="preserve">Harborstone Credit Fund I, LP</t>
  </si>
  <si>
    <t xml:space="preserve">Oakvale CLO III Ltd.</t>
  </si>
  <si>
    <t xml:space="preserve">Applegate Loan Investors LP</t>
  </si>
  <si>
    <t xml:space="preserve">Ridgeview Opportunity Fund LP</t>
  </si>
  <si>
    <t xml:space="preserve">Late (Excluded) (ballot cast: Accept)</t>
  </si>
  <si>
    <t xml:space="preserve">Late</t>
  </si>
  <si>
    <t xml:space="preserve">Late ballot (IRR-02)</t>
  </si>
  <si>
    <t xml:space="preserve">Received Nov 22, 2024 7:42 p.m. ET, 2h42m after Voting Deadline; excluded (SPO para. 14) (Exh. A, Item 2)</t>
  </si>
  <si>
    <t xml:space="preserve">Summit Bridge Capital LLC</t>
  </si>
  <si>
    <t xml:space="preserve">Clearfield Mezzanine Partners LP</t>
  </si>
  <si>
    <t xml:space="preserve">Harrowgate Capital Fund II, LP</t>
  </si>
  <si>
    <t xml:space="preserve">Westbrook Institutional Lending LLC</t>
  </si>
  <si>
    <t xml:space="preserve">Saddlerock Credit Advisors, Inc.</t>
  </si>
  <si>
    <t xml:space="preserve">Tanglewood Loan Fund LP</t>
  </si>
  <si>
    <t xml:space="preserve">Blackthorn Capital Management, LP</t>
  </si>
  <si>
    <t xml:space="preserve">Hollcroft Ventures Second Lien Opportunities LLC</t>
  </si>
  <si>
    <t xml:space="preserve">Dunmore Structured Credit Fund LP</t>
  </si>
  <si>
    <t xml:space="preserve">Prescott Investment Holdings, Inc.</t>
  </si>
  <si>
    <t xml:space="preserve">Whitmore Peak Capital LLC</t>
  </si>
  <si>
    <t xml:space="preserve">Foxglove Credit Partners, LP</t>
  </si>
  <si>
    <t xml:space="preserve">Cambrian Fixed Income Fund LLC</t>
  </si>
  <si>
    <t xml:space="preserve">Azalea Textile Co.</t>
  </si>
  <si>
    <t xml:space="preserve">Committee member</t>
  </si>
  <si>
    <t xml:space="preserve">Pinnacle Provisions Inc.</t>
  </si>
  <si>
    <t xml:space="preserve">GuestLink Systems Corp.</t>
  </si>
  <si>
    <t xml:space="preserve">Larkspur Catering Group LLC</t>
  </si>
  <si>
    <t xml:space="preserve">Yes</t>
  </si>
  <si>
    <t xml:space="preserve">Dkt. No. 389</t>
  </si>
  <si>
    <t xml:space="preserve">Dec 9, 2024</t>
  </si>
  <si>
    <t xml:space="preserve">Provisional (IRR-05); Claim No. 203 conflict (IRR-06)</t>
  </si>
  <si>
    <t xml:space="preserve">Provisional (Exh. B). NOTE: Term Sheet s.5 assigns Claim No. 203 to insider Ridgeline Management Holdings LLC ($320,000, accept) - conflict</t>
  </si>
  <si>
    <t xml:space="preserve">Meridian Linen Supply Co.</t>
  </si>
  <si>
    <t xml:space="preserve">Dkt. No. 402</t>
  </si>
  <si>
    <t xml:space="preserve">Provisional (IRR-05)</t>
  </si>
  <si>
    <t xml:space="preserve">Provisional (Exh. B)</t>
  </si>
  <si>
    <t xml:space="preserve">Trailhead HVAC Services Inc.</t>
  </si>
  <si>
    <t xml:space="preserve">Dkt. No. 415</t>
  </si>
  <si>
    <t xml:space="preserve">Dec 12, 2024</t>
  </si>
  <si>
    <t xml:space="preserve">Copperfield Consulting LLC</t>
  </si>
  <si>
    <t xml:space="preserve">Dkt. No. 421</t>
  </si>
  <si>
    <t xml:space="preserve">Bayshore Environmental Services Inc.</t>
  </si>
  <si>
    <t xml:space="preserve">Dkt. No. 395</t>
  </si>
  <si>
    <t xml:space="preserve">Redstone Digital Marketing LLC</t>
  </si>
  <si>
    <t xml:space="preserve">Dkt. No. 408</t>
  </si>
  <si>
    <t xml:space="preserve">Fernwood Plumbing &amp; Mechanical Co.</t>
  </si>
  <si>
    <t xml:space="preserve">Dkt. No. 418</t>
  </si>
  <si>
    <t xml:space="preserve">Magnolia Event Services, LLC</t>
  </si>
  <si>
    <t xml:space="preserve">Accept (1st ballot, Nov 12, 2024)</t>
  </si>
  <si>
    <t xml:space="preserve">Superseded</t>
  </si>
  <si>
    <t xml:space="preserve">Duplicate ballot (IRR-03)</t>
  </si>
  <si>
    <t xml:space="preserve">Duplicate - superseded by Nov 19 ballot under Last-in-Time Rule (SPO paras. 19-20); NOT COUNTED (Exh. A, Item 3)</t>
  </si>
  <si>
    <t xml:space="preserve">Appalachian Flooring Solutions Inc.</t>
  </si>
  <si>
    <t xml:space="preserve">Bluebell Conference Services LLC</t>
  </si>
  <si>
    <t xml:space="preserve">Capitol Janitorial Supply Co.</t>
  </si>
  <si>
    <t xml:space="preserve">Dogwood Furniture Rental LLC</t>
  </si>
  <si>
    <t xml:space="preserve">Elkhorn Pest Control Inc.</t>
  </si>
  <si>
    <t xml:space="preserve">Foxfire Staffing Solutions, LP</t>
  </si>
  <si>
    <t xml:space="preserve">Greenbriar Pool &amp; Spa Maintenance LLC</t>
  </si>
  <si>
    <t xml:space="preserve">Hearthstone IT Consulting Inc.</t>
  </si>
  <si>
    <t xml:space="preserve">Ironbridge Electrical Contractors LLC</t>
  </si>
  <si>
    <t xml:space="preserve">Juniper Landscaping Services Inc.</t>
  </si>
  <si>
    <t xml:space="preserve">Keystone Waste Management LLC</t>
  </si>
  <si>
    <t xml:space="preserve">Laurelwood Signage &amp; Graphics Co.</t>
  </si>
  <si>
    <t xml:space="preserve">Maplecrest Food Distributors Inc.</t>
  </si>
  <si>
    <t xml:space="preserve">Northgate Security Systems LLC</t>
  </si>
  <si>
    <t xml:space="preserve">Oakdale Paper &amp; Packaging Co.</t>
  </si>
  <si>
    <t xml:space="preserve">Pebblebrook Elevator Service Inc.</t>
  </si>
  <si>
    <t xml:space="preserve">Quarrystone Building Maintenance LLC</t>
  </si>
  <si>
    <t xml:space="preserve">Reject (2nd ballot, Nov 19, 2024)</t>
  </si>
  <si>
    <t xml:space="preserve">Last-in-time ballot; COUNTED (Exh. A, Item 3)</t>
  </si>
  <si>
    <t xml:space="preserve">Riverbend Uniform Supply, Inc.</t>
  </si>
  <si>
    <t xml:space="preserve">Silverton Audio Visual LLC</t>
  </si>
  <si>
    <t xml:space="preserve">Timberlake Roofing &amp; Waterproofing Co.</t>
  </si>
  <si>
    <t xml:space="preserve">Upland Fire Safety Equipment Inc.</t>
  </si>
  <si>
    <t xml:space="preserve">Valleycrest Window Treatments LLC</t>
  </si>
  <si>
    <t xml:space="preserve">Windermere Carpet Cleaning Services, Inc.</t>
  </si>
  <si>
    <t xml:space="preserve">Yarmouth Printing &amp; Stationery Co.</t>
  </si>
  <si>
    <t xml:space="preserve">Zenith Commercial Painting LLC</t>
  </si>
  <si>
    <t xml:space="preserve">Alderton Lock &amp; Key Services Inc.</t>
  </si>
  <si>
    <t xml:space="preserve">Briarstone Telecommunications LLC</t>
  </si>
  <si>
    <t xml:space="preserve">Copperton Glass &amp; Mirror Co.</t>
  </si>
  <si>
    <t xml:space="preserve">Crescent Bay Hospitality Workers Union</t>
  </si>
  <si>
    <t xml:space="preserve">Tennessee Department of Revenue</t>
  </si>
  <si>
    <t xml:space="preserve">Late penalty assessments</t>
  </si>
  <si>
    <t xml:space="preserve">Davidson County Environmental Compliance Division</t>
  </si>
  <si>
    <t xml:space="preserve">Civil penalty claims</t>
  </si>
  <si>
    <t xml:space="preserve">U.S. Department of Labor - Wage and Hour Division</t>
  </si>
  <si>
    <t xml:space="preserve">Penalty claims</t>
  </si>
  <si>
    <t xml:space="preserve">Tennessee Occupational Safety &amp; Health Administration</t>
  </si>
  <si>
    <t xml:space="preserve">Civil penalties</t>
  </si>
  <si>
    <t xml:space="preserve">Metro Nashville Fire Marshal's Office</t>
  </si>
  <si>
    <t xml:space="preserve">Code violation penalties</t>
  </si>
  <si>
    <t xml:space="preserve">Shelby County Health Department</t>
  </si>
  <si>
    <t xml:space="preserve">Knox County Tax Assessor's Office</t>
  </si>
  <si>
    <t xml:space="preserve">Detail Sub-Totals (computed from the line items above via COUNTIFS/SUMIFS)</t>
  </si>
  <si>
    <t xml:space="preserve">Status</t>
  </si>
  <si>
    <t xml:space="preserve">Count</t>
  </si>
  <si>
    <t xml:space="preserve">Amount ($)</t>
  </si>
  <si>
    <t xml:space="preserve">All line items</t>
  </si>
  <si>
    <t xml:space="preserve">(amount excludes superseded duplicate line)</t>
  </si>
  <si>
    <t xml:space="preserve">Class 4 Provisional Ballots (Exhibit B)</t>
  </si>
  <si>
    <t xml:space="preserve">Total provisional</t>
  </si>
  <si>
    <t xml:space="preserve">Arithmetic Verification Log - figures in the Certification (and related figures in the Term Sheet / Designation Order) recomputed</t>
  </si>
  <si>
    <t xml:space="preserve">Reported values transcribed in blue. Recomputed values are live formulas. Tolerance: $0.50 for dollars; 0.00006 for percentages reported to two decimals (rounding tolerance noted where the source rounds to one decimal or approximates). FAIL items are explained with impact.</t>
  </si>
  <si>
    <t xml:space="preserve">Check ID</t>
  </si>
  <si>
    <t xml:space="preserve">Item checked</t>
  </si>
  <si>
    <t xml:space="preserve">Source location</t>
  </si>
  <si>
    <t xml:space="preserve">Reported value</t>
  </si>
  <si>
    <t xml:space="preserve">Recomputed value</t>
  </si>
  <si>
    <t xml:space="preserve">Variance</t>
  </si>
  <si>
    <t xml:space="preserve">Tolerance</t>
  </si>
  <si>
    <t xml:space="preserve">Result</t>
  </si>
  <si>
    <t xml:space="preserve">Explanation / impact</t>
  </si>
  <si>
    <t xml:space="preserve">MC-C2-01</t>
  </si>
  <si>
    <t xml:space="preserve">Accepting amount = sum of 18 accepting line items</t>
  </si>
  <si>
    <t xml:space="preserve">Cert. s.III.B sub-totals &amp; verification line</t>
  </si>
  <si>
    <t xml:space="preserve">MC-C2-02</t>
  </si>
  <si>
    <t xml:space="preserve">Accepting count</t>
  </si>
  <si>
    <t xml:space="preserve">Cert. s.III.B</t>
  </si>
  <si>
    <t xml:space="preserve">MC-C2-03</t>
  </si>
  <si>
    <t xml:space="preserve">Rejecting amount (Briarcliff + Oakmont)</t>
  </si>
  <si>
    <t xml:space="preserve">MC-C2-04</t>
  </si>
  <si>
    <t xml:space="preserve">Designated amount (Garnet Creek)</t>
  </si>
  <si>
    <t xml:space="preserve">Cert. s.III.B; Dkt. 461 para. 2</t>
  </si>
  <si>
    <t xml:space="preserve">MC-C2-05</t>
  </si>
  <si>
    <t xml:space="preserve">Non-voting amount (Aldersgate + Harborstone)</t>
  </si>
  <si>
    <t xml:space="preserve">MC-C2-06</t>
  </si>
  <si>
    <t xml:space="preserve">Grand total of 23 line items = total allowed claims</t>
  </si>
  <si>
    <t xml:space="preserve">Cert. s.III.A verification line</t>
  </si>
  <si>
    <t xml:space="preserve">MC-C2-07</t>
  </si>
  <si>
    <t xml:space="preserve">Number of line items = 23 holders</t>
  </si>
  <si>
    <t xml:space="preserve">MC-C2-08</t>
  </si>
  <si>
    <t xml:space="preserve">Counted claims (denominator) = accept $ + reject $</t>
  </si>
  <si>
    <t xml:space="preserve">MC-C2-09</t>
  </si>
  <si>
    <t xml:space="preserve">Acceptance % number = 18/20</t>
  </si>
  <si>
    <t xml:space="preserve">MC-C2-10</t>
  </si>
  <si>
    <t xml:space="preserve">Acceptance % dollar = 278.42/293.17</t>
  </si>
  <si>
    <t xml:space="preserve">MC-C2-11</t>
  </si>
  <si>
    <t xml:space="preserve">Evergreen-excluded: accepting $</t>
  </si>
  <si>
    <t xml:space="preserve">Cert. Exh. A, Item 4</t>
  </si>
  <si>
    <t xml:space="preserve">MC-C2-12</t>
  </si>
  <si>
    <t xml:space="preserve">Evergreen-excluded: counted $</t>
  </si>
  <si>
    <t xml:space="preserve">MC-C2-13</t>
  </si>
  <si>
    <t xml:space="preserve">Evergreen-excluded: % number 17/19</t>
  </si>
  <si>
    <t xml:space="preserve">MC-C2-14</t>
  </si>
  <si>
    <t xml:space="preserve">Evergreen-excluded: % dollar</t>
  </si>
  <si>
    <t xml:space="preserve">MC-C2-15</t>
  </si>
  <si>
    <t xml:space="preserve">Stonebridge share of facility (60.7%)</t>
  </si>
  <si>
    <t xml:space="preserve">Cert. s.III.B line 1; Term Sheet s.1</t>
  </si>
  <si>
    <t xml:space="preserve">MC-C2-16</t>
  </si>
  <si>
    <t xml:space="preserve">Ad Hoc Group share of Class 2 (80.3%)</t>
  </si>
  <si>
    <t xml:space="preserve">Dkt. 461 FoF 5; Term Sheet s.1</t>
  </si>
  <si>
    <t xml:space="preserve">MC-C2-17</t>
  </si>
  <si>
    <t xml:space="preserve">Garnet Creek accommodation demand as % of claim (28.3%)</t>
  </si>
  <si>
    <t xml:space="preserve">Dkt. 461 CoL 3</t>
  </si>
  <si>
    <t xml:space="preserve">MC-C2-18</t>
  </si>
  <si>
    <t xml:space="preserve">Garnet Creek acquisition cost at ~71 cents (~$8,023,000)</t>
  </si>
  <si>
    <t xml:space="preserve">Dkt. 461 FoF 2</t>
  </si>
  <si>
    <t xml:space="preserve">Approximation stated in Order; ties.</t>
  </si>
  <si>
    <t xml:space="preserve">MC-C3-01</t>
  </si>
  <si>
    <t xml:space="preserve">Accepting amount (5 line items)</t>
  </si>
  <si>
    <t xml:space="preserve">Cert. s.IV.B</t>
  </si>
  <si>
    <t xml:space="preserve">MC-C3-02</t>
  </si>
  <si>
    <t xml:space="preserve">MC-C3-03</t>
  </si>
  <si>
    <t xml:space="preserve">Rejecting amount (7 line items)</t>
  </si>
  <si>
    <t xml:space="preserve">MC-C3-04</t>
  </si>
  <si>
    <t xml:space="preserve">Rejecting count</t>
  </si>
  <si>
    <t xml:space="preserve">MC-C3-05</t>
  </si>
  <si>
    <t xml:space="preserve">Late/excluded amount (Ridgeview)</t>
  </si>
  <si>
    <t xml:space="preserve">MC-C3-06</t>
  </si>
  <si>
    <t xml:space="preserve">Non-voting amount (Summit Bridge)</t>
  </si>
  <si>
    <t xml:space="preserve">MC-C3-07</t>
  </si>
  <si>
    <t xml:space="preserve">Grand total of 14 line items = total allowed claims</t>
  </si>
  <si>
    <t xml:space="preserve">Cert. s.IV.A verification line</t>
  </si>
  <si>
    <t xml:space="preserve">MC-C3-08</t>
  </si>
  <si>
    <t xml:space="preserve">Counted claims = accept $ + reject $</t>
  </si>
  <si>
    <t xml:space="preserve">MC-C3-09</t>
  </si>
  <si>
    <t xml:space="preserve">Acceptance % number = 5/12</t>
  </si>
  <si>
    <t xml:space="preserve">MC-C3-10</t>
  </si>
  <si>
    <t xml:space="preserve">Acceptance % dollar</t>
  </si>
  <si>
    <t xml:space="preserve">MC-C3-11</t>
  </si>
  <si>
    <t xml:space="preserve">Ridgeview-included: accepting $</t>
  </si>
  <si>
    <t xml:space="preserve">Cert. Exh. A, Item 2</t>
  </si>
  <si>
    <t xml:space="preserve">MC-C3-12</t>
  </si>
  <si>
    <t xml:space="preserve">Ridgeview-included: counted $</t>
  </si>
  <si>
    <t xml:space="preserve">MC-C3-13</t>
  </si>
  <si>
    <t xml:space="preserve">Ridgeview-included: % number 6/13</t>
  </si>
  <si>
    <t xml:space="preserve">MC-C3-14</t>
  </si>
  <si>
    <t xml:space="preserve">Ridgeview-included: % dollar</t>
  </si>
  <si>
    <t xml:space="preserve">MC-C3-15</t>
  </si>
  <si>
    <t xml:space="preserve">Lateness of Ridgeview ballot in minutes (2h 42m)</t>
  </si>
  <si>
    <t xml:space="preserve">Cert. s.IV.A, Exh. A Item 2</t>
  </si>
  <si>
    <t xml:space="preserve">MC-C4-01</t>
  </si>
  <si>
    <t xml:space="preserve">Accepting amount: s.II.B / narrative vs s.V.B sub-total (and Term Sheet s.3)</t>
  </si>
  <si>
    <t xml:space="preserve">Cert. s.II.B &amp; II.C ($24,381,400) vs s.V.B ($24,318,400)</t>
  </si>
  <si>
    <t xml:space="preserve">FAIL - $63,000 internal conflict (apparent digit transposition). Cannot be resolved without the full 281-line schedule. Term Sheet adopted the s.V.B figure. Outcome not affected (see S4-01).</t>
  </si>
  <si>
    <t xml:space="preserve">MC-C4-02</t>
  </si>
  <si>
    <t xml:space="preserve">Counted claims: s.II.B vs s.V.B sub-total</t>
  </si>
  <si>
    <t xml:space="preserve">Cert. s.II.B ($33,463,000) vs s.V.B ($33,400,000)</t>
  </si>
  <si>
    <t xml:space="preserve">FAIL - same $63,000 conflict flows into the denominator.</t>
  </si>
  <si>
    <t xml:space="preserve">MC-C4-03</t>
  </si>
  <si>
    <t xml:space="preserve">s.II.B counted claims = s.II.B accept $ + reject $</t>
  </si>
  <si>
    <t xml:space="preserve">Internally consistent.</t>
  </si>
  <si>
    <t xml:space="preserve">MC-C4-04</t>
  </si>
  <si>
    <t xml:space="preserve">s.V.B counted claims = s.V.B accept $ + reject $</t>
  </si>
  <si>
    <t xml:space="preserve">MC-C4-05</t>
  </si>
  <si>
    <t xml:space="preserve">Acceptance % dollar (Cert. 72.86%)</t>
  </si>
  <si>
    <t xml:space="preserve">Ties to s.II.B figures.</t>
  </si>
  <si>
    <t xml:space="preserve">MC-C4-06</t>
  </si>
  <si>
    <t xml:space="preserve">Acceptance % dollar (Term Sheet 72.81%)</t>
  </si>
  <si>
    <t xml:space="preserve">Term Sheet s.3</t>
  </si>
  <si>
    <t xml:space="preserve">Ties to s.V.B figures.</t>
  </si>
  <si>
    <t xml:space="preserve">MC-C4-07</t>
  </si>
  <si>
    <t xml:space="preserve">Term Sheet 72.81% vs Certification 72.86%</t>
  </si>
  <si>
    <t xml:space="preserve">Term Sheet s.3 vs Cert. s.II.B</t>
  </si>
  <si>
    <t xml:space="preserve">FAIL - cross-document inconsistency; Term Sheet should be conformed to the corrected Certification.</t>
  </si>
  <si>
    <t xml:space="preserve">MC-C4-08</t>
  </si>
  <si>
    <t xml:space="preserve">Acceptance % number = 209/280</t>
  </si>
  <si>
    <t xml:space="preserve">MC-C4-09</t>
  </si>
  <si>
    <t xml:space="preserve">Holder roll-forward: accept + reject + excluded + non-voting = 312</t>
  </si>
  <si>
    <t xml:space="preserve">Cert. s.II.B, s.V.A</t>
  </si>
  <si>
    <t xml:space="preserve">FAIL - only 305 holders classified; 7 holders unaccounted.</t>
  </si>
  <si>
    <t xml:space="preserve">MC-C4-10</t>
  </si>
  <si>
    <t xml:space="preserve">Ballots received = counted + excluded</t>
  </si>
  <si>
    <t xml:space="preserve">FAIL - 7 received ballots neither counted nor reported as excluded. Not explained by the duplicate (already within the 281 line items) or by provisional ballots (stated to be a subset of the 280). SPO para. 30(iii) requires every excluded ballot to be listed.</t>
  </si>
  <si>
    <t xml:space="preserve">MC-C4-11</t>
  </si>
  <si>
    <t xml:space="preserve">Dollar roll-forward: accept $ + reject $ + excluded $ + non-voting $ = $38,700,000</t>
  </si>
  <si>
    <t xml:space="preserve">FAIL - $827,000 unaccounted ($890,000 using s.V.B figures). No Class 4 verification of claim totals is provided, unlike Classes 2, 3 and 5.</t>
  </si>
  <si>
    <t xml:space="preserve">MC-C4-12</t>
  </si>
  <si>
    <t xml:space="preserve">Line items: 280 counted + 1 superseded duplicate = 281</t>
  </si>
  <si>
    <t xml:space="preserve">Cert. s.V.B, Exh. A Item 3</t>
  </si>
  <si>
    <t xml:space="preserve">MC-C4-13</t>
  </si>
  <si>
    <t xml:space="preserve">Printed line items + omitted = 281</t>
  </si>
  <si>
    <t xml:space="preserve">Cert. s.V.B (40 printed; 241 omitted)</t>
  </si>
  <si>
    <t xml:space="preserve">Ties, but only 40 lines are available for review.</t>
  </si>
  <si>
    <t xml:space="preserve">MC-C4-14</t>
  </si>
  <si>
    <t xml:space="preserve">Provisional accepting: 4 ballots / $1,740,000</t>
  </si>
  <si>
    <t xml:space="preserve">Cert. Exh. B; s.V.A</t>
  </si>
  <si>
    <t xml:space="preserve">MC-C4-15</t>
  </si>
  <si>
    <t xml:space="preserve">Provisional rejecting: 3 ballots / $890,000</t>
  </si>
  <si>
    <t xml:space="preserve">MC-C4-16</t>
  </si>
  <si>
    <t xml:space="preserve">Provisional total: $2,630,000</t>
  </si>
  <si>
    <t xml:space="preserve">Cert. Exh. B; Term Sheet ss.3, 7</t>
  </si>
  <si>
    <t xml:space="preserve">MC-C4-17</t>
  </si>
  <si>
    <t xml:space="preserve">Provisional ballot count (7)</t>
  </si>
  <si>
    <t xml:space="preserve">Cert. Exh. B</t>
  </si>
  <si>
    <t xml:space="preserve">MC-C4-18</t>
  </si>
  <si>
    <t xml:space="preserve">Term Sheet insider-excluded accepting $ (on its own base)</t>
  </si>
  <si>
    <t xml:space="preserve">Term Sheet s.5</t>
  </si>
  <si>
    <t xml:space="preserve">Arithmetic correct on the s.V.B base.</t>
  </si>
  <si>
    <t xml:space="preserve">MC-C4-19</t>
  </si>
  <si>
    <t xml:space="preserve">Term Sheet insider-excluded counted $ (on its own base)</t>
  </si>
  <si>
    <t xml:space="preserve">MC-C4-20</t>
  </si>
  <si>
    <t xml:space="preserve">Term Sheet insider-excluded % dollar (72.54%)</t>
  </si>
  <si>
    <t xml:space="preserve">FAIL (minor rounding) - 23,998,400 / 33,080,000 = 72.5465%, which rounds to 72.55%, not 72.54%. Immaterial.</t>
  </si>
  <si>
    <t xml:space="preserve">MC-C4-21</t>
  </si>
  <si>
    <t xml:space="preserve">Term Sheet insider-excluded % number 208/279</t>
  </si>
  <si>
    <t xml:space="preserve">MC-C4-22</t>
  </si>
  <si>
    <t xml:space="preserve">Insider-excluded % dollar on Certification s.II.B base</t>
  </si>
  <si>
    <t xml:space="preserve">Term Sheet s.5 (72.54%) vs recomputed on $24,381,400 base</t>
  </si>
  <si>
    <t xml:space="preserve">FAIL - 72.60% on the s.II.B base; Term Sheet result depends on which Class 4 figure is correct. Outcome unaffected.</t>
  </si>
  <si>
    <t xml:space="preserve">MC-C4-23</t>
  </si>
  <si>
    <t xml:space="preserve">GUC cash pool recovery (~15 cents)</t>
  </si>
  <si>
    <t xml:space="preserve">Term Sheet s.2</t>
  </si>
  <si>
    <t xml:space="preserve">MC-C5-01</t>
  </si>
  <si>
    <t xml:space="preserve">Accepting amount (Crescent Bay)</t>
  </si>
  <si>
    <t xml:space="preserve">Cert. s.VI.B</t>
  </si>
  <si>
    <t xml:space="preserve">MC-C5-02</t>
  </si>
  <si>
    <t xml:space="preserve">Rejecting amount (5 line items)</t>
  </si>
  <si>
    <t xml:space="preserve">MC-C5-03</t>
  </si>
  <si>
    <t xml:space="preserve">MC-C5-04</t>
  </si>
  <si>
    <t xml:space="preserve">Non-voting amount (Shelby + Knox)</t>
  </si>
  <si>
    <t xml:space="preserve">MC-C5-05</t>
  </si>
  <si>
    <t xml:space="preserve">Grand total of 8 line items = total allowed claims</t>
  </si>
  <si>
    <t xml:space="preserve">Cert. s.VI.A verification line</t>
  </si>
  <si>
    <t xml:space="preserve">MC-C5-06</t>
  </si>
  <si>
    <t xml:space="preserve">Counted claims</t>
  </si>
  <si>
    <t xml:space="preserve">MC-C5-07</t>
  </si>
  <si>
    <t xml:space="preserve">Acceptance % number 1/6</t>
  </si>
  <si>
    <t xml:space="preserve">MC-C5-08</t>
  </si>
  <si>
    <t xml:space="preserve">MC-G-01</t>
  </si>
  <si>
    <t xml:space="preserve">All</t>
  </si>
  <si>
    <t xml:space="preserve">Total funded indebtedness ~$412,000,000 = Class 2 + Class 3</t>
  </si>
  <si>
    <t xml:space="preserve">Cert. s.I; Term Sheet s.1</t>
  </si>
  <si>
    <t xml:space="preserve">Ties exactly to first + second lien debt; Cert. s.I statement that funded debt also includes unsecured and subordinated obligations is inconsistent with this (narrative issue only).</t>
  </si>
  <si>
    <t xml:space="preserve">MC-G-02</t>
  </si>
  <si>
    <t xml:space="preserve">Certification filed within 5 business days of Voting Deadline</t>
  </si>
  <si>
    <t xml:space="preserve">SPO para. 26 (due Nov. 29, 2024); Cert. dated Nov. 27, 2024</t>
  </si>
  <si>
    <t xml:space="preserve">Due 2024-11-29</t>
  </si>
  <si>
    <t xml:space="preserve">Filed 2024-11-27</t>
  </si>
  <si>
    <t xml:space="preserve">n/a</t>
  </si>
  <si>
    <t xml:space="preserve">PASS</t>
  </si>
  <si>
    <t xml:space="preserve">Timely.</t>
  </si>
  <si>
    <t xml:space="preserve">Total checks</t>
  </si>
  <si>
    <t xml:space="preserve">FAIL (math discrepancies flagged)</t>
  </si>
  <si>
    <t xml:space="preserve">Excluded, Irregular, Duplicate and Provisional Ballots; Procedural and Cross-Document Issues</t>
  </si>
  <si>
    <t xml:space="preserve">Ref</t>
  </si>
  <si>
    <t xml:space="preserve">Category</t>
  </si>
  <si>
    <t xml:space="preserve">Holder / Item</t>
  </si>
  <si>
    <t xml:space="preserve">Ballot as cast</t>
  </si>
  <si>
    <t xml:space="preserve">Voting Agent disposition</t>
  </si>
  <si>
    <t xml:space="preserve">Governing provision</t>
  </si>
  <si>
    <t xml:space="preserve">Assessment</t>
  </si>
  <si>
    <t xml:space="preserve">Tally impact / sensitivity ref.</t>
  </si>
  <si>
    <t xml:space="preserve">Outcome-determinative?</t>
  </si>
  <si>
    <t xml:space="preserve">Severity</t>
  </si>
  <si>
    <t xml:space="preserve">Recommended action</t>
  </si>
  <si>
    <t xml:space="preserve">Sources</t>
  </si>
  <si>
    <t xml:space="preserve">A. Ballot-level irregularities and tabulation issues</t>
  </si>
  <si>
    <t xml:space="preserve">IRR-01</t>
  </si>
  <si>
    <t xml:space="preserve">Designated ballot (s.1126(e))</t>
  </si>
  <si>
    <t xml:space="preserve">Designated; excluded from numerator, denominator and numerosity</t>
  </si>
  <si>
    <t xml:space="preserve">11 U.S.C. s.1126(e); Designation Order (Dkt. 461) paras. 2-3; SPO para. 29(c)</t>
  </si>
  <si>
    <t xml:space="preserve">Disposition is correct and consistent with Dkt. 461 (Order directs exclusion from numerator and denominator). Note: Exh. A refers to a hearing held Nov. 6, 2024; Dkt. 461 recites that the hearing was held Nov. 7, 2024. Detail schedule shows the vote as "Designated"; the underlying vote was Reject (Exh. A; Dkt. 461 FoF 5).</t>
  </si>
  <si>
    <t xml:space="preserve">If designation were reversed and the ballot counted as Reject: 18/21 = 85.71%; $278.42M / $304.47M = 91.44% (S2-03).</t>
  </si>
  <si>
    <t xml:space="preserve">Low</t>
  </si>
  <si>
    <t xml:space="preserve">Correct hearing date in Exh. A; monitor any appeal or reconsideration of Dkt. 461 (Term Sheet s.7 risk factor).</t>
  </si>
  <si>
    <t xml:space="preserve">Cert. s.II.B n.(i), s.III, Exh. A Item 1; Dkt. 461</t>
  </si>
  <si>
    <t xml:space="preserve">IRR-02</t>
  </si>
  <si>
    <t xml:space="preserve">Late ballot</t>
  </si>
  <si>
    <t xml:space="preserve">Excluded - received Nov. 22, 2024, 7:42 p.m. ET (2h 42m after deadline)</t>
  </si>
  <si>
    <t xml:space="preserve">SPO para. 14 (late ballots a nullity absent court order on excusable neglect/cause); SPO para. 12</t>
  </si>
  <si>
    <t xml:space="preserve">Exclusion correct. Certification cites "Paragraph 8" of the SPO and quotes language that does not appear in the SPO - the operative provision is para. 14 (para. 8 governs solicitation package contents). No motion to allow the late ballot filed as of Nov. 27, 2024.</t>
  </si>
  <si>
    <t xml:space="preserve">If counted: 6/13 = 46.15%; $36.07M / $98.5M = 36.62% - Class 3 still rejects (S3-01).</t>
  </si>
  <si>
    <t xml:space="preserve">Correct SPO citation and quotation in Exh. A Item 2; confirm no excusable-neglect motion is filed before the Dec. 9 Objection Deadline.</t>
  </si>
  <si>
    <t xml:space="preserve">Cert. s.IV, Exh. A Item 2; SPO paras. 12, 14</t>
  </si>
  <si>
    <t xml:space="preserve">IRR-03</t>
  </si>
  <si>
    <t xml:space="preserve">Duplicate / superseding ballot</t>
  </si>
  <si>
    <t xml:space="preserve">1st: Accept (rec. Nov. 12); 2nd: Reject (rec. Nov. 19)</t>
  </si>
  <si>
    <t xml:space="preserve">2nd (Reject) ballot counted; 1st ballot superseded</t>
  </si>
  <si>
    <t xml:space="preserve">SPO paras. 19-21 (Last-in-Time Rule; receipt time controls, para. 20(a))</t>
  </si>
  <si>
    <t xml:space="preserve">Disposition correct - receipt dates (Nov. 12 vs Nov. 19) determine priority, both before the deadline. Certification cites "Paragraph 10" of the SPO; the Last-in-Time Rule is in paras. 19-20 (para. 10 concerns non-voting notices).</t>
  </si>
  <si>
    <t xml:space="preserve">If the 1st ballot were counted instead: 210/280 = 75.00%; $24.79M / $33.46M = 74.09% (S4-07).</t>
  </si>
  <si>
    <t xml:space="preserve">Correct SPO citation in s.V.A and Exh. A Item 3.</t>
  </si>
  <si>
    <t xml:space="preserve">Cert. s.II.B n.(iv), s.V, Exh. A Item 3; SPO paras. 19-22</t>
  </si>
  <si>
    <t xml:space="preserve">IRR-04</t>
  </si>
  <si>
    <t xml:space="preserve">Irregular ballot - no box checked</t>
  </si>
  <si>
    <t xml:space="preserve">No box checked; margin note "WE CONSENT TO THE PLAN" (signed M.T. Reinhardt, Nov. 18, 2024)</t>
  </si>
  <si>
    <t xml:space="preserve">Counted as acceptance</t>
  </si>
  <si>
    <t xml:space="preserve">SPO para. 17; Ballot Form (SPO Exh. 1) instructions</t>
  </si>
  <si>
    <t xml:space="preserve">Counting is permitted only if (i) the Agent reasonably finds clear intent AND (ii) no party in interest objects before the Confirmation Hearing. The statement in the Certification that neither the SPO nor the ballot instructions expressly address unmarked ballots is incorrect - para. 17 and the ballot form expressly provide that such a ballot "shall not be counted" unless both conditions are met. Acceptance remains contingent on no objection (Objection Deadline Dec. 9, 2024).</t>
  </si>
  <si>
    <t xml:space="preserve">If excluded: 17/19 = 89.47%; $262.82M / $277.57M = 94.69% (S2-01). If treated as Reject: 17/20 = 85.00%; 89.65% (S2-02).</t>
  </si>
  <si>
    <t xml:space="preserve">Medium</t>
  </si>
  <si>
    <t xml:space="preserve">Correct the Basis paragraph of Exh. A Item 4 to reflect SPO para. 17; track any objection filed by Dec. 9.</t>
  </si>
  <si>
    <t xml:space="preserve">Cert. s.III.B, Exh. A Item 4; SPO para. 17, Exh. 1</t>
  </si>
  <si>
    <t xml:space="preserve">IRR-05</t>
  </si>
  <si>
    <t xml:space="preserve">Provisional ballots (claims under objection) - 7 ballots</t>
  </si>
  <si>
    <t xml:space="preserve">Larkspur ($520k A), Meridian ($480k A), Trailhead ($410k A), Copperfield ($330k A), Bayshore ($380k R), Redstone ($290k R), Fernwood ($220k R)</t>
  </si>
  <si>
    <t xml:space="preserve">203, 178, 256, 289, 195, 221, 267</t>
  </si>
  <si>
    <t xml:space="preserve">4 Accept ($1,740,000); 3 Reject ($890,000)</t>
  </si>
  <si>
    <t xml:space="preserve">Counted at full filed amount, subject to objection outcome</t>
  </si>
  <si>
    <t xml:space="preserve">SPO paras. 23-25</t>
  </si>
  <si>
    <t xml:space="preserve">SPO para. 24 REQUIRES the Certification to report results both including AND excluding Provisional Ballots. The Certification reports only the including-provisional results - non-compliance. Objection hearings Dec. 9 and Dec. 12, 2024, before the Dec. 16 Confirmation Hearing.</t>
  </si>
  <si>
    <t xml:space="preserve">Excluding all 7: 205/273 = 75.09%; $22.64M / $30.83M = 73.43% (S4-02). Disallowing only the 4 accepting: 205/276 = 74.28%; 71.37% (S4-03).</t>
  </si>
  <si>
    <t xml:space="preserve">Request supplemental certification with excluding-provisional results (para. 24) and an updated tally after the Dec. 9/12 objection hearings.</t>
  </si>
  <si>
    <t xml:space="preserve">Cert. s.II.B n.(iii), s.V.A, Exh. B; SPO paras. 23-25</t>
  </si>
  <si>
    <t xml:space="preserve">IRR-06</t>
  </si>
  <si>
    <t xml:space="preserve">Insider ballot / misclassification / claim-number conflict</t>
  </si>
  <si>
    <t xml:space="preserve">Ridgeline Management Holdings LLC (wholly-owned subsidiary of Debtor)</t>
  </si>
  <si>
    <t xml:space="preserve">203 (per Term Sheet)</t>
  </si>
  <si>
    <t xml:space="preserve">Accept (per Term Sheet s.5)</t>
  </si>
  <si>
    <t xml:space="preserve">Not disclosed in the Certification; apparently counted in Class 4</t>
  </si>
  <si>
    <t xml:space="preserve">11 U.S.C. ss.101(31), 1129(a)(10); Plan Class 6 (Intercompany Claims) definition</t>
  </si>
  <si>
    <t xml:space="preserve">(a) The Certification does not identify any insider ballot. (b) Claim No. 203 is shown in the Certification as Larkspur Catering Group LLC ($520,000, provisional, Dkt. 389) - the two documents cannot both be right. (c) A claim held by a wholly-owned subsidiary against the Debtor appears to be an Intercompany Claim (Class 6 - unimpaired, deemed to accept, not entitled to vote); if so, the ballot should not have been counted in Class 4 for s.1126(c) purposes at all, not merely disregarded for s.1129(a)(10).</t>
  </si>
  <si>
    <t xml:space="preserve">Excluding $320k insider accept: 208/279 = 74.55%; 72.60% on s.II.B base (S4-04). If the conflicting $520k Claim No. 203 line is the insider ballot: 208/279 = 74.55%; 72.43% (S4-06).</t>
  </si>
  <si>
    <t xml:space="preserve">No (Class 2 independently satisfies s.1129(a)(10))</t>
  </si>
  <si>
    <t xml:space="preserve">Medium-High</t>
  </si>
  <si>
    <t xml:space="preserve">Require the Voting Agent to identify the insider ballot, reconcile Claim No. 203, confirm classification (Class 4 vs Class 6) and disclose insider-excluded results in a supplemental certification.</t>
  </si>
  <si>
    <t xml:space="preserve">Term Sheet ss.2, 5; Cert. s.V.B line 4, Exh. B</t>
  </si>
  <si>
    <t xml:space="preserve">IRR-07</t>
  </si>
  <si>
    <t xml:space="preserve">Unreconciled Class 4 ballots and dollars</t>
  </si>
  <si>
    <t xml:space="preserve">Seven unidentified ballots</t>
  </si>
  <si>
    <t xml:space="preserve">Unknown</t>
  </si>
  <si>
    <t xml:space="preserve">None disclosed - 287 received, 280 counted, 0 excluded</t>
  </si>
  <si>
    <t xml:space="preserve">SPO para. 30(ii)-(iii) (schedule of each ballot; exhibit of all excluded/irregular ballots)</t>
  </si>
  <si>
    <t xml:space="preserve">Holder (312 vs 305), ballot (287 vs 280) and dollar ($38.7M vs $37.873M) roll-forwards do not tie. Either 7 ballots were excluded without disclosure, or the received/holder figures are wrong. Amount is $827,000 on the s.II.B base ($890,000 on the s.V.B base).</t>
  </si>
  <si>
    <t xml:space="preserve">Stress test - all 7 counted as rejections at $827k: 209/287 = 72.82%; 71.10% (S4-08). Combined adverse case still accepts, but with the amount test at 69.06% - only ~2.4 points above the 66.67% threshold (S4-09).</t>
  </si>
  <si>
    <t xml:space="preserve">High</t>
  </si>
  <si>
    <t xml:space="preserve">Demand reconciliation of the 7 ballots / $827,000 and listing of any excluded ballots with basis, before the Dec. 9 Objection Deadline.</t>
  </si>
  <si>
    <t xml:space="preserve">Cert. ss.II.B, V.A-B</t>
  </si>
  <si>
    <t xml:space="preserve">IRR-08</t>
  </si>
  <si>
    <t xml:space="preserve">Accepting-amount conflict</t>
  </si>
  <si>
    <t xml:space="preserve">Class 4 aggregate</t>
  </si>
  <si>
    <t xml:space="preserve">-</t>
  </si>
  <si>
    <t xml:space="preserve">s.II.B: $24,381,400; s.V.B: $24,318,400</t>
  </si>
  <si>
    <t xml:space="preserve">SPO para. 30(i)</t>
  </si>
  <si>
    <t xml:space="preserve">See Math Checks MC-C4-01/02/07. The certified figure cannot be confirmed without the full schedule; the Term Sheet relies on the s.V.B figure.</t>
  </si>
  <si>
    <t xml:space="preserve">72.86% vs 72.81% (S4-00 vs S4-01).</t>
  </si>
  <si>
    <t xml:space="preserve">Obtain corrected certification; conform Term Sheet ss.3 and 5.</t>
  </si>
  <si>
    <t xml:space="preserve">Cert. ss.II.B, II.C, V.B; Term Sheet ss.3, 5</t>
  </si>
  <si>
    <t xml:space="preserve">IRR-09</t>
  </si>
  <si>
    <t xml:space="preserve">Incomplete ballot schedule</t>
  </si>
  <si>
    <t xml:space="preserve">Class 4 detail schedule</t>
  </si>
  <si>
    <t xml:space="preserve">Only 40 of 281 line items printed; remainder available for inspection</t>
  </si>
  <si>
    <t xml:space="preserve">SPO para. 30(ii) (detailed ballot-by-ballot schedule listing each ballot received)</t>
  </si>
  <si>
    <t xml:space="preserve">Certification does not comply with para. 30(ii) for Class 4; independent tie-out of Class 4 totals is not possible.</t>
  </si>
  <si>
    <t xml:space="preserve">No (but prevents verification)</t>
  </si>
  <si>
    <t xml:space="preserve">Request the complete 281-line electronic schedule and file it as a supplement.</t>
  </si>
  <si>
    <t xml:space="preserve">Cert. s.V.B; SPO para. 30</t>
  </si>
  <si>
    <t xml:space="preserve">B. Cross-document inconsistencies and other observations</t>
  </si>
  <si>
    <t xml:space="preserve">XD-01</t>
  </si>
  <si>
    <t xml:space="preserve">Cross-document inconsistency</t>
  </si>
  <si>
    <t xml:space="preserve">Ad Hoc Group description</t>
  </si>
  <si>
    <t xml:space="preserve">Certification s.I describes Thornbury Strauss LLP as counsel to the "Ad Hoc Group of Second Lien Lenders"; the SPO (Recital F, para. 32(d)), Designation Order and Term Sheet all identify it as counsel to the Ad Hoc Group of FIRST Lien Lenders.</t>
  </si>
  <si>
    <t xml:space="preserve">Correct Certification s.I.</t>
  </si>
  <si>
    <t xml:space="preserve">Cert. s.I; SPO; Dkt. 461; Term Sheet s.1</t>
  </si>
  <si>
    <t xml:space="preserve">XD-02</t>
  </si>
  <si>
    <t xml:space="preserve">First Lien Credit Agreement date</t>
  </si>
  <si>
    <t xml:space="preserve">Certification s.III.A: dated June 15, 2021; Designation Order: dated June 30, 2021.</t>
  </si>
  <si>
    <t xml:space="preserve">Confirm correct date from the credit agreement.</t>
  </si>
  <si>
    <t xml:space="preserve">Cert. s.III.A; Dkt. 461 preamble</t>
  </si>
  <si>
    <t xml:space="preserve">XD-03</t>
  </si>
  <si>
    <t xml:space="preserve">Designation hearing date</t>
  </si>
  <si>
    <t xml:space="preserve">Certification Exh. A Item 1: hearing held Nov. 6, 2024; Designation Order: hearing held Nov. 7, 2024.</t>
  </si>
  <si>
    <t xml:space="preserve">Correct Exh. A Item 1.</t>
  </si>
  <si>
    <t xml:space="preserve">Cert. Exh. A Item 1; Dkt. 461</t>
  </si>
  <si>
    <t xml:space="preserve">XD-04</t>
  </si>
  <si>
    <t xml:space="preserve">Voting Agent address</t>
  </si>
  <si>
    <t xml:space="preserve">Certification: 610 Lexington Avenue; SPO Recital D, para. 13 and both ballot forms: 600 Lexington Avenue (the ballot return address). Confirm all ballots mailed to the 600 address were received and logged (relevant to timeliness determinations).</t>
  </si>
  <si>
    <t xml:space="preserve">Confirm address; conform documents.</t>
  </si>
  <si>
    <t xml:space="preserve">Cert. s.I, s.VII; SPO Recital D, para. 13, Exhs. 1-2</t>
  </si>
  <si>
    <t xml:space="preserve">XD-05</t>
  </si>
  <si>
    <t xml:space="preserve">Incorrect citation</t>
  </si>
  <si>
    <t xml:space="preserve">3, 4</t>
  </si>
  <si>
    <t xml:space="preserve">SPO paragraph references</t>
  </si>
  <si>
    <t xml:space="preserve">Certification cites SPO "Paragraph 8" (late ballots) and "Paragraph 10" (duplicate ballots); the correct provisions are para. 14 and paras. 19-20. The quoted para. 8 text does not match the SPO.</t>
  </si>
  <si>
    <t xml:space="preserve">Correct citations.</t>
  </si>
  <si>
    <t xml:space="preserve">Cert. Exh. A Items 2-3; SPO</t>
  </si>
  <si>
    <t xml:space="preserve">XD-06</t>
  </si>
  <si>
    <t xml:space="preserve">Committee composition</t>
  </si>
  <si>
    <t xml:space="preserve">Term Sheet: Committee has seven members (three named); Certification names the same three as current members. Confirm whether other Committee members voted in Class 4 (none identified in the printed sample).</t>
  </si>
  <si>
    <t xml:space="preserve">Confirm Committee roster.</t>
  </si>
  <si>
    <t xml:space="preserve">Cert. s.I, s.V.B; Term Sheet s.1</t>
  </si>
  <si>
    <t xml:space="preserve">XD-07</t>
  </si>
  <si>
    <t xml:space="preserve">Narrative inconsistency</t>
  </si>
  <si>
    <t xml:space="preserve">Funded debt description</t>
  </si>
  <si>
    <t xml:space="preserve">$412,000,000 funded debt equals Class 2 + Class 3 exactly ($308.5M + $103.5M), but Certification s.I states it includes unsecured and subordinated obligations.</t>
  </si>
  <si>
    <t xml:space="preserve">Clarify description.</t>
  </si>
  <si>
    <t xml:space="preserve">XD-08</t>
  </si>
  <si>
    <t xml:space="preserve">Term Sheet - confirmation analysis</t>
  </si>
  <si>
    <t xml:space="preserve">Class 3 cram-down description</t>
  </si>
  <si>
    <t xml:space="preserve">s.1129(b)(2)(A)</t>
  </si>
  <si>
    <t xml:space="preserve">Term Sheet s.4 describes Class 3 as receiving the indubitable equivalent or lien retention plus deferred cash payments, but Class 3 treatment (s.2) is solely a pro rata share of 15% of new equity. The cram-down argument must be reconciled with the actual treatment.</t>
  </si>
  <si>
    <t xml:space="preserve">No (tally); relevant to confirmation</t>
  </si>
  <si>
    <t xml:space="preserve">Flag for confirmation brief.</t>
  </si>
  <si>
    <t xml:space="preserve">Term Sheet ss.2, 4</t>
  </si>
  <si>
    <t xml:space="preserve">XD-09</t>
  </si>
  <si>
    <t xml:space="preserve">Term Sheet - internal inconsistency</t>
  </si>
  <si>
    <t xml:space="preserve">Class 5 estimated recovery</t>
  </si>
  <si>
    <t xml:space="preserve">s.1129(b)(2)(B)</t>
  </si>
  <si>
    <t xml:space="preserve">Class 5 recovers only after Class 4 is paid in full, yet Class 4 recovers ~15% and Class 5 estimated recovery is stated as 0%-3%.</t>
  </si>
  <si>
    <t xml:space="preserve">No (tally)</t>
  </si>
  <si>
    <t xml:space="preserve">Conform recovery disclosure.</t>
  </si>
  <si>
    <t xml:space="preserve">XD-10</t>
  </si>
  <si>
    <t xml:space="preserve">Term Sheet - conformity</t>
  </si>
  <si>
    <t xml:space="preserve">Term Sheet voting figures</t>
  </si>
  <si>
    <t xml:space="preserve">Term Sheet s.3 reports Class 4 accepting $24,318,400 and 72.81%, vs Certification s.II.B $24,381,400 and 72.86%; Term Sheet does not address the unreconciled ballots or the absence of insider disclosure in the Certification.</t>
  </si>
  <si>
    <t xml:space="preserve">Conform Term Sheet after corrected certification.</t>
  </si>
  <si>
    <t xml:space="preserve">Term Sheet ss.3, 5; Cert. s.II.B</t>
  </si>
  <si>
    <t xml:space="preserve">Sensitivity Analysis - effect of each irregularity / discrepancy on s.1126(c) results</t>
  </si>
  <si>
    <t xml:space="preserve">Base figures pull from Summary (Section A, as certified). Adjustments (blue) are applied to accept/reject counts and amounts; results recomputed. Thresholds: more than 50% in number AND at least 66.67% in amount of counted claims.</t>
  </si>
  <si>
    <t xml:space="preserve">Scenario</t>
  </si>
  <si>
    <t xml:space="preserve">Description</t>
  </si>
  <si>
    <t xml:space="preserve">Base acc #</t>
  </si>
  <si>
    <t xml:space="preserve">Base acc $</t>
  </si>
  <si>
    <t xml:space="preserve">Base rej #</t>
  </si>
  <si>
    <t xml:space="preserve">Base rej $</t>
  </si>
  <si>
    <t xml:space="preserve">Adj acc #</t>
  </si>
  <si>
    <t xml:space="preserve">Adj acc $</t>
  </si>
  <si>
    <t xml:space="preserve">Adj rej #</t>
  </si>
  <si>
    <t xml:space="preserve">Adj rej $</t>
  </si>
  <si>
    <t xml:space="preserve">Acc #</t>
  </si>
  <si>
    <t xml:space="preserve">Acc $</t>
  </si>
  <si>
    <t xml:space="preserve">Rej #</t>
  </si>
  <si>
    <t xml:space="preserve">Rej $</t>
  </si>
  <si>
    <t xml:space="preserve">Counted #</t>
  </si>
  <si>
    <t xml:space="preserve">Counted $</t>
  </si>
  <si>
    <t xml:space="preserve">% number</t>
  </si>
  <si>
    <t xml:space="preserve">% amount</t>
  </si>
  <si>
    <t xml:space="preserve">Numerosity</t>
  </si>
  <si>
    <t xml:space="preserve">Amount</t>
  </si>
  <si>
    <t xml:space="preserve">Change vs certified?</t>
  </si>
  <si>
    <t xml:space="preserve">Basis / source</t>
  </si>
  <si>
    <t xml:space="preserve">S2-00</t>
  </si>
  <si>
    <t xml:space="preserve">As certified</t>
  </si>
  <si>
    <t xml:space="preserve">S2-01</t>
  </si>
  <si>
    <t xml:space="preserve">Evergreen ballot treated as deficient and excluded (SPO para. 17 objection sustained)</t>
  </si>
  <si>
    <t xml:space="preserve">Cert. Exh. A Item 4 (verifies 89.47% / 94.69%)</t>
  </si>
  <si>
    <t xml:space="preserve">S2-02</t>
  </si>
  <si>
    <t xml:space="preserve">Evergreen ballot treated as a rejection</t>
  </si>
  <si>
    <t xml:space="preserve">Hypothetical worst case</t>
  </si>
  <si>
    <t xml:space="preserve">S2-03</t>
  </si>
  <si>
    <t xml:space="preserve">Garnet Creek designation reversed - ballot counted as Reject</t>
  </si>
  <si>
    <t xml:space="preserve">Dkt. 461 appeal risk (Term Sheet s.7)</t>
  </si>
  <si>
    <t xml:space="preserve">S2-04</t>
  </si>
  <si>
    <t xml:space="preserve">Combined adverse: Evergreen as Reject + Garnet Creek counted as Reject</t>
  </si>
  <si>
    <t xml:space="preserve">S2-02 + S2-03</t>
  </si>
  <si>
    <t xml:space="preserve">S2-05</t>
  </si>
  <si>
    <t xml:space="preserve">Extreme stress: S2-04 plus both non-voters (Aldersgate, Harborstone) reject</t>
  </si>
  <si>
    <t xml:space="preserve">Hypothetical; non-voters are not counted under SPO para. 29(a)</t>
  </si>
  <si>
    <t xml:space="preserve">S3-00</t>
  </si>
  <si>
    <t xml:space="preserve">S3-01</t>
  </si>
  <si>
    <t xml:space="preserve">Ridgeview late ballot counted as acceptance</t>
  </si>
  <si>
    <t xml:space="preserve">Cert. Exh. A Item 2 (verifies 46.15% / 36.62%)</t>
  </si>
  <si>
    <t xml:space="preserve">S3-02</t>
  </si>
  <si>
    <t xml:space="preserve">Ridgeview counted + non-voter Summit Bridge accepts</t>
  </si>
  <si>
    <t xml:space="preserve">Best case for acceptance</t>
  </si>
  <si>
    <t xml:space="preserve">S3-03</t>
  </si>
  <si>
    <t xml:space="preserve">Best case S3-02 + largest rejecting holder (Blackthorn, $14.5M) switches to accept</t>
  </si>
  <si>
    <t xml:space="preserve">Illustrates distance from acceptance</t>
  </si>
  <si>
    <t xml:space="preserve">S4-00</t>
  </si>
  <si>
    <t xml:space="preserve">As certified (s.II.B: $24,381,400 accept)</t>
  </si>
  <si>
    <t xml:space="preserve">S4-01</t>
  </si>
  <si>
    <t xml:space="preserve">Using s.V.B sub-total ($24,318,400 accept; $33,400,000 counted)</t>
  </si>
  <si>
    <t xml:space="preserve">Cert. s.V.B; Term Sheet s.3</t>
  </si>
  <si>
    <t xml:space="preserve">S4-02</t>
  </si>
  <si>
    <t xml:space="preserve">Excluding all 7 provisional ballots (SPO para. 24 required disclosure)</t>
  </si>
  <si>
    <t xml:space="preserve">Cert. Exh. B; SPO para. 24</t>
  </si>
  <si>
    <t xml:space="preserve">S4-03</t>
  </si>
  <si>
    <t xml:space="preserve">Only the 4 accepting provisional claims disallowed in full</t>
  </si>
  <si>
    <t xml:space="preserve">Worst case on objections</t>
  </si>
  <si>
    <t xml:space="preserve">S4-04</t>
  </si>
  <si>
    <t xml:space="preserve">Insider Ridgeline Management Holdings LLC ($320,000 accept) excluded</t>
  </si>
  <si>
    <t xml:space="preserve">Term Sheet s.5; s.1129(a)(10)</t>
  </si>
  <si>
    <t xml:space="preserve">S4-05</t>
  </si>
  <si>
    <t xml:space="preserve">Insider excluded AND 4 accepting provisional claims disallowed</t>
  </si>
  <si>
    <t xml:space="preserve">S4-03 + S4-04</t>
  </si>
  <si>
    <t xml:space="preserve">S4-06</t>
  </si>
  <si>
    <t xml:space="preserve">Claim No. 203 conflict: Larkspur $520,000 line is the insider ballot and is excluded</t>
  </si>
  <si>
    <t xml:space="preserve">Cert. s.V.B line 4 vs Term Sheet s.5</t>
  </si>
  <si>
    <t xml:space="preserve">S4-07</t>
  </si>
  <si>
    <t xml:space="preserve">Magnolia first (accepting) ballot counted instead of second</t>
  </si>
  <si>
    <t xml:space="preserve">Cert. Exh. A Item 3</t>
  </si>
  <si>
    <t xml:space="preserve">S4-08</t>
  </si>
  <si>
    <t xml:space="preserve">7 unreconciled ballots ($827,000) all counted as rejections</t>
  </si>
  <si>
    <t xml:space="preserve">Stress test - Math Checks MC-C4-09 to -11</t>
  </si>
  <si>
    <t xml:space="preserve">S4-09</t>
  </si>
  <si>
    <t xml:space="preserve">Combined adverse: s.V.B base + insider excluded + 4 accepting provisionals disallowed + 7 unreconciled ballots reject at $890,000</t>
  </si>
  <si>
    <t xml:space="preserve">S4-01 + S4-05 + S4-08 (s.V.B base)</t>
  </si>
  <si>
    <t xml:space="preserve">S5-00</t>
  </si>
  <si>
    <t xml:space="preserve">S5-01</t>
  </si>
  <si>
    <t xml:space="preserve">Both non-voters (Shelby County, Knox County) accept</t>
  </si>
  <si>
    <t xml:space="preserve">Cushion / break-even analysis (as certified)</t>
  </si>
  <si>
    <t xml:space="preserve">Measure</t>
  </si>
  <si>
    <t xml:space="preserve">Accepting $ that could be removed (disallowed/excluded) before failing 2/3 test [3A - 2T]</t>
  </si>
  <si>
    <t xml:space="preserve">Additional rejecting $ that could be added before failing 2/3 test [1.5A - T]</t>
  </si>
  <si>
    <t xml:space="preserve">Accepting $ that could switch to reject before failing 2/3 test [A - 2T/3]</t>
  </si>
  <si>
    <t xml:space="preserve">Accepting ballots that could switch to reject before failing numerosity</t>
  </si>
  <si>
    <t xml:space="preserve">Additional rejecting ballots that could be added before failing numerosity [A - R - 1]</t>
  </si>
  <si>
    <t xml:space="preserve">Negative values for Classes 3 and 5 show the shortfall (they would need that amount/number to move the other way to accept). Example: Class 3 would need roughly $31.7M of rejecting claims to switch to acceptance; Class 4 can absorb roughly $6.2M of accepting-claim removals before failing the amount test.</t>
  </si>
  <si>
    <t xml:space="preserve">Notes, Sources and Methodology</t>
  </si>
  <si>
    <t xml:space="preserve">Purpose</t>
  </si>
  <si>
    <t xml:space="preserve">Extraction and independent verification of the ballot tallies certified by the Voting Agent for the Second Amended Plan of Reorganization, with discrepancy and irregularity flags and sensitivity testing ahead of the Dec. 16, 2024 Confirmation Hearing.</t>
  </si>
  <si>
    <t xml:space="preserve">Documents reviewed</t>
  </si>
  <si>
    <t xml:space="preserve">(1) Certification of Clearwater Advisory Group LLC Regarding Ballot Tabulation (Nov. 27, 2024); (2) Order Designating Ballot of Garnet Creek Capital Fund II, LP, Dkt. No. 461 (Nov. 8, 2024); (3) Solicitation Procedures Order, Dkt. No. 440 (Oct. 15, 2024), incl. Exhibits 1-2 (ballot forms); (4) Summary Term Sheet for the Second Amended Plan, Haverford &amp; Lyle LLP (Nov. 29, 2024).</t>
  </si>
  <si>
    <t xml:space="preserve">Legal standard applied</t>
  </si>
  <si>
    <t xml:space="preserve">11 U.S.C. s.1126(c): a class accepts if holders of at least 2/3 in amount AND more than 1/2 in number of allowed claims actually voting accept. Denominator excludes non-voters, late/deficient ballots and s.1126(e)-designated ballots (SPO paras. 28-29). s.1129(a)(10): at least one impaired class must accept, excluding insider acceptances.</t>
  </si>
  <si>
    <t xml:space="preserve">Method</t>
  </si>
  <si>
    <t xml:space="preserve">All ballot-level line items printed in the Certification were transcribed to the Ballot Detail tab and re-totaled with COUNTIFS/SUMIFS. Summary figures were recomputed from components (counts, amounts, percentages, holder/ballot/dollar roll-forwards). Every derived figure in the Certification, the voting and insider analysis in the Term Sheet, and the numerical findings in the Designation Order were recomputed on the Math Checks tab. Each irregularity was tested against the SPO and modeled on the Sensitivity tab.</t>
  </si>
  <si>
    <t xml:space="preserve">Bottom line</t>
  </si>
  <si>
    <t xml:space="preserve">Class 2 ACCEPTS (90.00% / 94.97%); Class 3 REJECTS (41.67% / 32.36%); Class 4 ACCEPTS (74.64% / 72.86% as certified; 72.81% on s.V.B figures); Class 5 REJECTS (16.67% / 11.35%). Classes 2, 3 and 5 tie out exactly to the ballot-level schedules. Class 4 does not tie: a $63,000 conflict in the accepting amount, and 7 ballots / $827,000 unaccounted for in the holder, ballot and dollar roll-forwards. No issue, individually or combined, changes any class result.</t>
  </si>
  <si>
    <t xml:space="preserve">Limitations</t>
  </si>
  <si>
    <t xml:space="preserve">The Class 4 schedule is a 40-line excerpt of 281 lines, so Class 4 totals could not be independently tied to ballot-level data. Original ballots, receipt logs and the electronic schedule were not available. Figures are as stated in the documents; no claims-register data was available.</t>
  </si>
  <si>
    <t xml:space="preserve">Requests to Voting Agent / Debtor</t>
  </si>
  <si>
    <t xml:space="preserve">(1) Complete Class 4 281-line schedule; (2) reconciliation of 312 holders / 287 ballots / $38.7M to the tally; (3) confirmation of the correct Class 4 accepting amount; (4) SPO para. 24 results excluding provisional ballots; (5) identification of the Ridgeline Management Holdings LLC ballot, its claim number and classification; (6) corrected SPO citations, hearing date, address and Ad Hoc Group description; (7) supplemental certification after the Dec. 9/12 claim-objection hearings.</t>
  </si>
  <si>
    <t xml:space="preserve">Key dates</t>
  </si>
  <si>
    <t xml:space="preserve">Petition Date Mar. 14, 2024; Plan filed Sept. 30, 2024; DS Order and SPO Oct. 15, 2024 (Record Date Oct. 15); Designation Order Nov. 8, 2024; Voting Deadline Nov. 22, 2024 5:00 p.m. ET; Certification Nov. 27, 2024 (due Nov. 29); claim-objection hearings Dec. 9 and 12, 2024; Objection Deadline Dec. 9, 2024 4:00 p.m. ET; Confirmation Hearing Dec. 16, 2024 10:00 a.m. ET.</t>
  </si>
  <si>
    <t xml:space="preserve">Tab guide</t>
  </si>
  <si>
    <t xml:space="preserve">Summary - reported vs recomputed results and roll-forwards; Ballot Detail - every printed ballot line with status flags; Math Checks - arithmetic verification log (PASS/FAIL); Irregularities - excluded, irregular, duplicate, provisional, insider and cross-document issues; Sensitivity - scenario and cushion analysis.</t>
  </si>
  <si>
    <t xml:space="preserve">Color legend</t>
  </si>
  <si>
    <t xml:space="preserve">Blue font = transcribed source input; black = formula; green = cross-sheet formula; red fill = FAIL / discrepancy; yellow fill = test not met / class rejects; green fill = PASS / ties.</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</si>
</sst>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
    <numFmt numFmtId="168" formatCode="#,##0.00"/>
    <numFmt numFmtId="169" formatCode="0.00000"/>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color rgb="FFFFFFFF"/>
      <name val="Cambria"/>
      <family val="0"/>
      <charset val="1"/>
    </font>
    <font>
      <b val="true"/>
      <sz val="11"/>
      <name val="Cambria"/>
      <family val="0"/>
      <charset val="1"/>
    </font>
    <font>
      <sz val="11"/>
      <color rgb="FF0000FF"/>
      <name val="Cambria"/>
      <family val="0"/>
      <charset val="1"/>
    </font>
    <font>
      <sz val="11"/>
      <color rgb="FF008000"/>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6EFCE"/>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7"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6" fontId="8"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9" fontId="0" fillId="0" borderId="1" xfId="0" applyFont="fals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F8CBAD"/>
        </patternFill>
      </fill>
    </dxf>
    <dxf>
      <fill>
        <patternFill>
          <bgColor rgb="FFFFEB9C"/>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6" min="3" style="0" width="20"/>
    <col collapsed="false" customWidth="true" hidden="false" outlineLevel="0" max="7" min="7" style="0" width="70"/>
  </cols>
  <sheetData>
    <row r="1" customFormat="false" ht="17.35" hidden="false" customHeight="false" outlineLevel="0" collapsed="false">
      <c r="A1" s="1" t="s">
        <v>0</v>
      </c>
    </row>
    <row r="2" customFormat="false" ht="31.5" hidden="false" customHeight="true" outlineLevel="0" collapsed="false">
      <c r="A2" s="2" t="s">
        <v>1</v>
      </c>
      <c r="B2" s="2"/>
      <c r="C2" s="2"/>
      <c r="D2" s="2"/>
      <c r="E2" s="2"/>
      <c r="F2" s="2"/>
      <c r="G2" s="2"/>
    </row>
    <row r="3" customFormat="false" ht="15" hidden="false" customHeight="true" outlineLevel="0" collapsed="false">
      <c r="A3" s="2" t="s">
        <v>2</v>
      </c>
      <c r="B3" s="2"/>
      <c r="C3" s="2"/>
      <c r="D3" s="2"/>
      <c r="E3" s="2"/>
      <c r="F3" s="2"/>
      <c r="G3" s="2"/>
    </row>
    <row r="5" customFormat="false" ht="15" hidden="false" customHeight="false" outlineLevel="0" collapsed="false">
      <c r="A5" s="3" t="s">
        <v>3</v>
      </c>
      <c r="B5" s="3" t="s">
        <v>4</v>
      </c>
      <c r="C5" s="3" t="s">
        <v>5</v>
      </c>
      <c r="D5" s="3" t="s">
        <v>6</v>
      </c>
      <c r="E5" s="3" t="s">
        <v>7</v>
      </c>
      <c r="F5" s="3" t="s">
        <v>8</v>
      </c>
      <c r="G5" s="3" t="s">
        <v>9</v>
      </c>
    </row>
    <row r="6" customFormat="false" ht="28.35" hidden="false" customHeight="false" outlineLevel="0" collapsed="false">
      <c r="A6" s="4" t="s">
        <v>10</v>
      </c>
      <c r="B6" s="5"/>
      <c r="C6" s="5"/>
      <c r="D6" s="5"/>
      <c r="E6" s="5"/>
      <c r="F6" s="5"/>
      <c r="G6" s="5"/>
    </row>
    <row r="7" customFormat="false" ht="28.35" hidden="false" customHeight="false" outlineLevel="0" collapsed="false">
      <c r="A7" s="6" t="s">
        <v>11</v>
      </c>
      <c r="B7" s="6" t="s">
        <v>12</v>
      </c>
      <c r="C7" s="7" t="s">
        <v>13</v>
      </c>
      <c r="D7" s="7" t="s">
        <v>14</v>
      </c>
      <c r="E7" s="7" t="s">
        <v>15</v>
      </c>
      <c r="F7" s="7" t="s">
        <v>16</v>
      </c>
      <c r="G7" s="6"/>
    </row>
    <row r="8" customFormat="false" ht="15" hidden="false" customHeight="false" outlineLevel="0" collapsed="false">
      <c r="A8" s="6" t="s">
        <v>17</v>
      </c>
      <c r="B8" s="6" t="s">
        <v>18</v>
      </c>
      <c r="C8" s="8" t="n">
        <v>308500000</v>
      </c>
      <c r="D8" s="8" t="n">
        <v>103500000</v>
      </c>
      <c r="E8" s="8" t="n">
        <v>38700000</v>
      </c>
      <c r="F8" s="8" t="n">
        <v>2145000</v>
      </c>
      <c r="G8" s="6"/>
    </row>
    <row r="9" customFormat="false" ht="15" hidden="false" customHeight="false" outlineLevel="0" collapsed="false">
      <c r="A9" s="6" t="s">
        <v>19</v>
      </c>
      <c r="B9" s="6" t="s">
        <v>18</v>
      </c>
      <c r="C9" s="9" t="n">
        <v>23</v>
      </c>
      <c r="D9" s="9" t="n">
        <v>14</v>
      </c>
      <c r="E9" s="9" t="n">
        <v>312</v>
      </c>
      <c r="F9" s="9" t="n">
        <v>8</v>
      </c>
      <c r="G9" s="6"/>
    </row>
    <row r="10" customFormat="false" ht="15" hidden="false" customHeight="false" outlineLevel="0" collapsed="false">
      <c r="A10" s="6" t="s">
        <v>20</v>
      </c>
      <c r="B10" s="6" t="s">
        <v>21</v>
      </c>
      <c r="C10" s="9" t="n">
        <v>21</v>
      </c>
      <c r="D10" s="9" t="n">
        <v>13</v>
      </c>
      <c r="E10" s="9" t="n">
        <v>287</v>
      </c>
      <c r="F10" s="9" t="n">
        <v>6</v>
      </c>
      <c r="G10" s="6"/>
    </row>
    <row r="11" customFormat="false" ht="15" hidden="false" customHeight="false" outlineLevel="0" collapsed="false">
      <c r="A11" s="6" t="s">
        <v>22</v>
      </c>
      <c r="B11" s="6" t="s">
        <v>21</v>
      </c>
      <c r="C11" s="9" t="n">
        <v>18</v>
      </c>
      <c r="D11" s="9" t="n">
        <v>5</v>
      </c>
      <c r="E11" s="9" t="n">
        <v>209</v>
      </c>
      <c r="F11" s="9" t="n">
        <v>1</v>
      </c>
      <c r="G11" s="6"/>
    </row>
    <row r="12" customFormat="false" ht="28.35" hidden="false" customHeight="false" outlineLevel="0" collapsed="false">
      <c r="A12" s="6" t="s">
        <v>23</v>
      </c>
      <c r="B12" s="6" t="s">
        <v>21</v>
      </c>
      <c r="C12" s="8" t="n">
        <v>278420000</v>
      </c>
      <c r="D12" s="8" t="n">
        <v>29870000</v>
      </c>
      <c r="E12" s="8" t="n">
        <v>24381400</v>
      </c>
      <c r="F12" s="8" t="n">
        <v>215000</v>
      </c>
      <c r="G12" s="6" t="s">
        <v>24</v>
      </c>
    </row>
    <row r="13" customFormat="false" ht="15" hidden="false" customHeight="false" outlineLevel="0" collapsed="false">
      <c r="A13" s="6" t="s">
        <v>25</v>
      </c>
      <c r="B13" s="6" t="s">
        <v>21</v>
      </c>
      <c r="C13" s="9" t="n">
        <v>2</v>
      </c>
      <c r="D13" s="9" t="n">
        <v>7</v>
      </c>
      <c r="E13" s="9" t="n">
        <v>71</v>
      </c>
      <c r="F13" s="9" t="n">
        <v>5</v>
      </c>
      <c r="G13" s="6"/>
    </row>
    <row r="14" customFormat="false" ht="15" hidden="false" customHeight="false" outlineLevel="0" collapsed="false">
      <c r="A14" s="6" t="s">
        <v>26</v>
      </c>
      <c r="B14" s="6" t="s">
        <v>21</v>
      </c>
      <c r="C14" s="8" t="n">
        <v>14750000</v>
      </c>
      <c r="D14" s="8" t="n">
        <v>62430000</v>
      </c>
      <c r="E14" s="8" t="n">
        <v>9081600</v>
      </c>
      <c r="F14" s="8" t="n">
        <v>1680000</v>
      </c>
      <c r="G14" s="6"/>
    </row>
    <row r="15" customFormat="false" ht="28.35" hidden="false" customHeight="false" outlineLevel="0" collapsed="false">
      <c r="A15" s="6" t="s">
        <v>27</v>
      </c>
      <c r="B15" s="6" t="s">
        <v>21</v>
      </c>
      <c r="C15" s="9" t="n">
        <v>1</v>
      </c>
      <c r="D15" s="9" t="n">
        <v>1</v>
      </c>
      <c r="E15" s="9" t="n">
        <v>0</v>
      </c>
      <c r="F15" s="9" t="n">
        <v>0</v>
      </c>
      <c r="G15" s="6" t="s">
        <v>28</v>
      </c>
    </row>
    <row r="16" customFormat="false" ht="15" hidden="false" customHeight="false" outlineLevel="0" collapsed="false">
      <c r="A16" s="6" t="s">
        <v>29</v>
      </c>
      <c r="B16" s="6" t="s">
        <v>21</v>
      </c>
      <c r="C16" s="8" t="n">
        <v>11300000</v>
      </c>
      <c r="D16" s="8" t="n">
        <v>6200000</v>
      </c>
      <c r="E16" s="8" t="n">
        <v>0</v>
      </c>
      <c r="F16" s="8" t="n">
        <v>0</v>
      </c>
      <c r="G16" s="6"/>
    </row>
    <row r="17" customFormat="false" ht="15" hidden="false" customHeight="false" outlineLevel="0" collapsed="false">
      <c r="A17" s="6" t="s">
        <v>30</v>
      </c>
      <c r="B17" s="6" t="s">
        <v>21</v>
      </c>
      <c r="C17" s="9" t="n">
        <v>2</v>
      </c>
      <c r="D17" s="9" t="n">
        <v>1</v>
      </c>
      <c r="E17" s="9" t="n">
        <v>25</v>
      </c>
      <c r="F17" s="9" t="n">
        <v>2</v>
      </c>
      <c r="G17" s="6"/>
    </row>
    <row r="18" customFormat="false" ht="15" hidden="false" customHeight="false" outlineLevel="0" collapsed="false">
      <c r="A18" s="6" t="s">
        <v>31</v>
      </c>
      <c r="B18" s="6" t="s">
        <v>21</v>
      </c>
      <c r="C18" s="8" t="n">
        <v>4030000</v>
      </c>
      <c r="D18" s="8" t="n">
        <v>5000000</v>
      </c>
      <c r="E18" s="8" t="n">
        <v>4410000</v>
      </c>
      <c r="F18" s="8" t="n">
        <v>250000</v>
      </c>
      <c r="G18" s="6"/>
    </row>
    <row r="19" customFormat="false" ht="15" hidden="false" customHeight="false" outlineLevel="0" collapsed="false">
      <c r="A19" s="6" t="s">
        <v>32</v>
      </c>
      <c r="B19" s="6" t="s">
        <v>21</v>
      </c>
      <c r="C19" s="9" t="n">
        <v>20</v>
      </c>
      <c r="D19" s="9" t="n">
        <v>12</v>
      </c>
      <c r="E19" s="9" t="n">
        <v>280</v>
      </c>
      <c r="F19" s="9" t="n">
        <v>6</v>
      </c>
      <c r="G19" s="6"/>
    </row>
    <row r="20" customFormat="false" ht="15" hidden="false" customHeight="false" outlineLevel="0" collapsed="false">
      <c r="A20" s="6" t="s">
        <v>33</v>
      </c>
      <c r="B20" s="6" t="s">
        <v>21</v>
      </c>
      <c r="C20" s="8" t="n">
        <v>293170000</v>
      </c>
      <c r="D20" s="8" t="n">
        <v>92300000</v>
      </c>
      <c r="E20" s="8" t="n">
        <v>33463000</v>
      </c>
      <c r="F20" s="8" t="n">
        <v>1895000</v>
      </c>
      <c r="G20" s="6"/>
    </row>
    <row r="21" customFormat="false" ht="15" hidden="false" customHeight="false" outlineLevel="0" collapsed="false">
      <c r="A21" s="6" t="s">
        <v>34</v>
      </c>
      <c r="B21" s="6" t="s">
        <v>21</v>
      </c>
      <c r="C21" s="10" t="n">
        <v>0.9</v>
      </c>
      <c r="D21" s="10" t="n">
        <v>0.4167</v>
      </c>
      <c r="E21" s="10" t="n">
        <v>0.7464</v>
      </c>
      <c r="F21" s="10" t="n">
        <v>0.1667</v>
      </c>
      <c r="G21" s="6"/>
    </row>
    <row r="22" customFormat="false" ht="15" hidden="false" customHeight="false" outlineLevel="0" collapsed="false">
      <c r="A22" s="6" t="s">
        <v>35</v>
      </c>
      <c r="B22" s="6" t="s">
        <v>21</v>
      </c>
      <c r="C22" s="10" t="n">
        <v>0.9497</v>
      </c>
      <c r="D22" s="10" t="n">
        <v>0.3236</v>
      </c>
      <c r="E22" s="10" t="n">
        <v>0.7286</v>
      </c>
      <c r="F22" s="10" t="n">
        <v>0.1135</v>
      </c>
      <c r="G22" s="6"/>
    </row>
    <row r="23" customFormat="false" ht="15" hidden="false" customHeight="false" outlineLevel="0" collapsed="false">
      <c r="A23" s="6" t="s">
        <v>36</v>
      </c>
      <c r="B23" s="6" t="s">
        <v>37</v>
      </c>
      <c r="C23" s="7" t="s">
        <v>38</v>
      </c>
      <c r="D23" s="7" t="s">
        <v>39</v>
      </c>
      <c r="E23" s="7" t="s">
        <v>38</v>
      </c>
      <c r="F23" s="7" t="s">
        <v>39</v>
      </c>
      <c r="G23" s="6"/>
    </row>
    <row r="24" customFormat="false" ht="15" hidden="false" customHeight="false" outlineLevel="0" collapsed="false">
      <c r="A24" s="6"/>
      <c r="B24" s="6"/>
      <c r="C24" s="11"/>
      <c r="D24" s="11"/>
      <c r="E24" s="11"/>
      <c r="F24" s="11"/>
      <c r="G24" s="6"/>
    </row>
    <row r="25" customFormat="false" ht="28.35" hidden="false" customHeight="false" outlineLevel="0" collapsed="false">
      <c r="A25" s="4" t="s">
        <v>40</v>
      </c>
      <c r="B25" s="5"/>
      <c r="C25" s="5"/>
      <c r="D25" s="5"/>
      <c r="E25" s="5"/>
      <c r="F25" s="5"/>
      <c r="G25" s="5"/>
    </row>
    <row r="26" customFormat="false" ht="15" hidden="false" customHeight="false" outlineLevel="0" collapsed="false">
      <c r="A26" s="6" t="s">
        <v>41</v>
      </c>
      <c r="B26" s="6" t="s">
        <v>42</v>
      </c>
      <c r="C26" s="12" t="n">
        <f aca="false">C11+C13</f>
        <v>20</v>
      </c>
      <c r="D26" s="12" t="n">
        <f aca="false">D11+D13</f>
        <v>12</v>
      </c>
      <c r="E26" s="12" t="n">
        <f aca="false">E11+E13</f>
        <v>280</v>
      </c>
      <c r="F26" s="12" t="n">
        <f aca="false">F11+F13</f>
        <v>6</v>
      </c>
      <c r="G26" s="6"/>
    </row>
    <row r="27" customFormat="false" ht="15" hidden="false" customHeight="false" outlineLevel="0" collapsed="false">
      <c r="A27" s="6" t="s">
        <v>43</v>
      </c>
      <c r="B27" s="6" t="s">
        <v>42</v>
      </c>
      <c r="C27" s="13" t="n">
        <f aca="false">C12+C14</f>
        <v>293170000</v>
      </c>
      <c r="D27" s="13" t="n">
        <f aca="false">D12+D14</f>
        <v>92300000</v>
      </c>
      <c r="E27" s="13" t="n">
        <f aca="false">E12+E14</f>
        <v>33463000</v>
      </c>
      <c r="F27" s="13" t="n">
        <f aca="false">F12+F14</f>
        <v>1895000</v>
      </c>
      <c r="G27" s="6"/>
    </row>
    <row r="28" customFormat="false" ht="15" hidden="false" customHeight="false" outlineLevel="0" collapsed="false">
      <c r="A28" s="6" t="s">
        <v>34</v>
      </c>
      <c r="B28" s="6" t="s">
        <v>42</v>
      </c>
      <c r="C28" s="14" t="n">
        <f aca="false">ROUND(C11/C26,4)</f>
        <v>0.9</v>
      </c>
      <c r="D28" s="14" t="n">
        <f aca="false">ROUND(D11/D26,4)</f>
        <v>0.4167</v>
      </c>
      <c r="E28" s="14" t="n">
        <f aca="false">ROUND(E11/E26,4)</f>
        <v>0.7464</v>
      </c>
      <c r="F28" s="14" t="n">
        <f aca="false">ROUND(F11/F26,4)</f>
        <v>0.1667</v>
      </c>
      <c r="G28" s="6"/>
    </row>
    <row r="29" customFormat="false" ht="15" hidden="false" customHeight="false" outlineLevel="0" collapsed="false">
      <c r="A29" s="6" t="s">
        <v>35</v>
      </c>
      <c r="B29" s="6" t="s">
        <v>42</v>
      </c>
      <c r="C29" s="14" t="n">
        <f aca="false">ROUND(C12/C27,4)</f>
        <v>0.9497</v>
      </c>
      <c r="D29" s="14" t="n">
        <f aca="false">ROUND(D12/D27,4)</f>
        <v>0.3236</v>
      </c>
      <c r="E29" s="14" t="n">
        <f aca="false">ROUND(E12/E27,4)</f>
        <v>0.7286</v>
      </c>
      <c r="F29" s="14" t="n">
        <f aca="false">ROUND(F12/F27,4)</f>
        <v>0.1135</v>
      </c>
      <c r="G29" s="6"/>
    </row>
    <row r="30" customFormat="false" ht="15" hidden="false" customHeight="false" outlineLevel="0" collapsed="false">
      <c r="A30" s="6" t="s">
        <v>44</v>
      </c>
      <c r="B30" s="6" t="s">
        <v>42</v>
      </c>
      <c r="C30" s="11" t="str">
        <f aca="false">IF(C11/C26&gt;0.5,"MET","NOT MET")</f>
        <v>MET</v>
      </c>
      <c r="D30" s="11" t="str">
        <f aca="false">IF(D11/D26&gt;0.5,"MET","NOT MET")</f>
        <v>NOT MET</v>
      </c>
      <c r="E30" s="11" t="str">
        <f aca="false">IF(E11/E26&gt;0.5,"MET","NOT MET")</f>
        <v>MET</v>
      </c>
      <c r="F30" s="11" t="str">
        <f aca="false">IF(F11/F26&gt;0.5,"MET","NOT MET")</f>
        <v>NOT MET</v>
      </c>
      <c r="G30" s="6"/>
    </row>
    <row r="31" customFormat="false" ht="15" hidden="false" customHeight="false" outlineLevel="0" collapsed="false">
      <c r="A31" s="6" t="s">
        <v>45</v>
      </c>
      <c r="B31" s="6" t="s">
        <v>42</v>
      </c>
      <c r="C31" s="11" t="str">
        <f aca="false">IF(C12/C27&gt;=2/3,"MET","NOT MET")</f>
        <v>MET</v>
      </c>
      <c r="D31" s="11" t="str">
        <f aca="false">IF(D12/D27&gt;=2/3,"MET","NOT MET")</f>
        <v>NOT MET</v>
      </c>
      <c r="E31" s="11" t="str">
        <f aca="false">IF(E12/E27&gt;=2/3,"MET","NOT MET")</f>
        <v>MET</v>
      </c>
      <c r="F31" s="11" t="str">
        <f aca="false">IF(F12/F27&gt;=2/3,"MET","NOT MET")</f>
        <v>NOT MET</v>
      </c>
      <c r="G31" s="6"/>
    </row>
    <row r="32" customFormat="false" ht="15" hidden="false" customHeight="false" outlineLevel="0" collapsed="false">
      <c r="A32" s="6" t="s">
        <v>46</v>
      </c>
      <c r="B32" s="6" t="s">
        <v>42</v>
      </c>
      <c r="C32" s="11" t="str">
        <f aca="false">IF(AND(C30="MET",C31="MET"),"ACCEPTS","REJECTS")</f>
        <v>ACCEPTS</v>
      </c>
      <c r="D32" s="11" t="str">
        <f aca="false">IF(AND(D30="MET",D31="MET"),"ACCEPTS","REJECTS")</f>
        <v>REJECTS</v>
      </c>
      <c r="E32" s="11" t="str">
        <f aca="false">IF(AND(E30="MET",E31="MET"),"ACCEPTS","REJECTS")</f>
        <v>ACCEPTS</v>
      </c>
      <c r="F32" s="11" t="str">
        <f aca="false">IF(AND(F30="MET",F31="MET"),"ACCEPTS","REJECTS")</f>
        <v>REJECTS</v>
      </c>
      <c r="G32" s="6"/>
    </row>
    <row r="33" customFormat="false" ht="15" hidden="false" customHeight="false" outlineLevel="0" collapsed="false">
      <c r="A33" s="6" t="s">
        <v>47</v>
      </c>
      <c r="B33" s="6" t="s">
        <v>48</v>
      </c>
      <c r="C33" s="11" t="str">
        <f aca="false">IF(C32=C23,"PASS","FAIL")</f>
        <v>PASS</v>
      </c>
      <c r="D33" s="11" t="str">
        <f aca="false">IF(D32=D23,"PASS","FAIL")</f>
        <v>PASS</v>
      </c>
      <c r="E33" s="11" t="str">
        <f aca="false">IF(E32=E23,"PASS","FAIL")</f>
        <v>PASS</v>
      </c>
      <c r="F33" s="11" t="str">
        <f aca="false">IF(F32=F23,"PASS","FAIL")</f>
        <v>PASS</v>
      </c>
      <c r="G33" s="6"/>
    </row>
    <row r="34" customFormat="false" ht="15" hidden="false" customHeight="false" outlineLevel="0" collapsed="false">
      <c r="A34" s="6" t="s">
        <v>49</v>
      </c>
      <c r="B34" s="6" t="s">
        <v>48</v>
      </c>
      <c r="C34" s="11" t="str">
        <f aca="false">IF(C26=C19,"PASS","FAIL")</f>
        <v>PASS</v>
      </c>
      <c r="D34" s="11" t="str">
        <f aca="false">IF(D26=D19,"PASS","FAIL")</f>
        <v>PASS</v>
      </c>
      <c r="E34" s="11" t="str">
        <f aca="false">IF(E26=E19,"PASS","FAIL")</f>
        <v>PASS</v>
      </c>
      <c r="F34" s="11" t="str">
        <f aca="false">IF(F26=F19,"PASS","FAIL")</f>
        <v>PASS</v>
      </c>
      <c r="G34" s="6"/>
    </row>
    <row r="35" customFormat="false" ht="15" hidden="false" customHeight="false" outlineLevel="0" collapsed="false">
      <c r="A35" s="6" t="s">
        <v>50</v>
      </c>
      <c r="B35" s="6" t="s">
        <v>48</v>
      </c>
      <c r="C35" s="11" t="str">
        <f aca="false">IF(ABS(C27-C20)&lt;0.5,"PASS","FAIL")</f>
        <v>PASS</v>
      </c>
      <c r="D35" s="11" t="str">
        <f aca="false">IF(ABS(D27-D20)&lt;0.5,"PASS","FAIL")</f>
        <v>PASS</v>
      </c>
      <c r="E35" s="11" t="str">
        <f aca="false">IF(ABS(E27-E20)&lt;0.5,"PASS","FAIL")</f>
        <v>PASS</v>
      </c>
      <c r="F35" s="11" t="str">
        <f aca="false">IF(ABS(F27-F20)&lt;0.5,"PASS","FAIL")</f>
        <v>PASS</v>
      </c>
      <c r="G35" s="6"/>
    </row>
    <row r="36" customFormat="false" ht="15" hidden="false" customHeight="false" outlineLevel="0" collapsed="false">
      <c r="A36" s="6" t="s">
        <v>51</v>
      </c>
      <c r="B36" s="6" t="s">
        <v>48</v>
      </c>
      <c r="C36" s="11" t="str">
        <f aca="false">IF(AND(ABS(C28-C21)&lt;0.00006,ABS(C29-C22)&lt;0.00006),"PASS","FAIL")</f>
        <v>PASS</v>
      </c>
      <c r="D36" s="11" t="str">
        <f aca="false">IF(AND(ABS(D28-D21)&lt;0.00006,ABS(D29-D22)&lt;0.00006),"PASS","FAIL")</f>
        <v>PASS</v>
      </c>
      <c r="E36" s="11" t="str">
        <f aca="false">IF(AND(ABS(E28-E21)&lt;0.00006,ABS(E29-E22)&lt;0.00006),"PASS","FAIL")</f>
        <v>PASS</v>
      </c>
      <c r="F36" s="11" t="str">
        <f aca="false">IF(AND(ABS(F28-F21)&lt;0.00006,ABS(F29-F22)&lt;0.00006),"PASS","FAIL")</f>
        <v>PASS</v>
      </c>
      <c r="G36" s="6"/>
    </row>
    <row r="37" customFormat="false" ht="15" hidden="false" customHeight="false" outlineLevel="0" collapsed="false">
      <c r="A37" s="6" t="s">
        <v>52</v>
      </c>
      <c r="B37" s="6" t="s">
        <v>42</v>
      </c>
      <c r="C37" s="12" t="n">
        <f aca="false">C11+C13+C15+C17</f>
        <v>23</v>
      </c>
      <c r="D37" s="12" t="n">
        <f aca="false">D11+D13+D15+D17</f>
        <v>14</v>
      </c>
      <c r="E37" s="12" t="n">
        <f aca="false">E11+E13+E15+E17</f>
        <v>305</v>
      </c>
      <c r="F37" s="12" t="n">
        <f aca="false">F11+F13+F15+F17</f>
        <v>8</v>
      </c>
      <c r="G37" s="6"/>
    </row>
    <row r="38" customFormat="false" ht="15" hidden="false" customHeight="false" outlineLevel="0" collapsed="false">
      <c r="A38" s="6" t="s">
        <v>53</v>
      </c>
      <c r="B38" s="6" t="s">
        <v>48</v>
      </c>
      <c r="C38" s="12" t="n">
        <f aca="false">C37-C9</f>
        <v>0</v>
      </c>
      <c r="D38" s="12" t="n">
        <f aca="false">D37-D9</f>
        <v>0</v>
      </c>
      <c r="E38" s="12" t="n">
        <f aca="false">E37-E9</f>
        <v>-7</v>
      </c>
      <c r="F38" s="12" t="n">
        <f aca="false">F37-F9</f>
        <v>0</v>
      </c>
      <c r="G38" s="6" t="s">
        <v>54</v>
      </c>
    </row>
    <row r="39" customFormat="false" ht="15" hidden="false" customHeight="false" outlineLevel="0" collapsed="false">
      <c r="A39" s="6" t="s">
        <v>55</v>
      </c>
      <c r="B39" s="6" t="s">
        <v>42</v>
      </c>
      <c r="C39" s="12" t="n">
        <f aca="false">C26+C15</f>
        <v>21</v>
      </c>
      <c r="D39" s="12" t="n">
        <f aca="false">D26+D15</f>
        <v>13</v>
      </c>
      <c r="E39" s="12" t="n">
        <f aca="false">E26+E15</f>
        <v>280</v>
      </c>
      <c r="F39" s="12" t="n">
        <f aca="false">F26+F15</f>
        <v>6</v>
      </c>
      <c r="G39" s="6"/>
    </row>
    <row r="40" customFormat="false" ht="41.75" hidden="false" customHeight="false" outlineLevel="0" collapsed="false">
      <c r="A40" s="6" t="s">
        <v>56</v>
      </c>
      <c r="B40" s="6" t="s">
        <v>48</v>
      </c>
      <c r="C40" s="12" t="n">
        <f aca="false">C39-C10</f>
        <v>0</v>
      </c>
      <c r="D40" s="12" t="n">
        <f aca="false">D39-D10</f>
        <v>0</v>
      </c>
      <c r="E40" s="12" t="n">
        <f aca="false">E39-E10</f>
        <v>-7</v>
      </c>
      <c r="F40" s="12" t="n">
        <f aca="false">F39-F10</f>
        <v>0</v>
      </c>
      <c r="G40" s="6" t="s">
        <v>57</v>
      </c>
    </row>
    <row r="41" customFormat="false" ht="15" hidden="false" customHeight="false" outlineLevel="0" collapsed="false">
      <c r="A41" s="6" t="s">
        <v>58</v>
      </c>
      <c r="B41" s="6" t="s">
        <v>42</v>
      </c>
      <c r="C41" s="13" t="n">
        <f aca="false">C12+C14+C16+C18</f>
        <v>308500000</v>
      </c>
      <c r="D41" s="13" t="n">
        <f aca="false">D12+D14+D16+D18</f>
        <v>103500000</v>
      </c>
      <c r="E41" s="13" t="n">
        <f aca="false">E12+E14+E16+E18</f>
        <v>37873000</v>
      </c>
      <c r="F41" s="13" t="n">
        <f aca="false">F12+F14+F16+F18</f>
        <v>2145000</v>
      </c>
      <c r="G41" s="6"/>
    </row>
    <row r="42" customFormat="false" ht="41.75" hidden="false" customHeight="false" outlineLevel="0" collapsed="false">
      <c r="A42" s="6" t="s">
        <v>59</v>
      </c>
      <c r="B42" s="6" t="s">
        <v>48</v>
      </c>
      <c r="C42" s="13" t="n">
        <f aca="false">C41-C8</f>
        <v>0</v>
      </c>
      <c r="D42" s="13" t="n">
        <f aca="false">D41-D8</f>
        <v>0</v>
      </c>
      <c r="E42" s="13" t="n">
        <f aca="false">E41-E8</f>
        <v>-827000</v>
      </c>
      <c r="F42" s="13" t="n">
        <f aca="false">F41-F8</f>
        <v>0</v>
      </c>
      <c r="G42" s="6" t="s">
        <v>60</v>
      </c>
    </row>
    <row r="43" customFormat="false" ht="15" hidden="false" customHeight="false" outlineLevel="0" collapsed="false">
      <c r="A43" s="6" t="s">
        <v>61</v>
      </c>
      <c r="B43" s="6" t="s">
        <v>48</v>
      </c>
      <c r="C43" s="11" t="str">
        <f aca="false">IF(AND(C38=0,C40=0,ABS(C42)&lt;0.5),"TIES","DISCREPANCY")</f>
        <v>TIES</v>
      </c>
      <c r="D43" s="11" t="str">
        <f aca="false">IF(AND(D38=0,D40=0,ABS(D42)&lt;0.5),"TIES","DISCREPANCY")</f>
        <v>TIES</v>
      </c>
      <c r="E43" s="11" t="str">
        <f aca="false">IF(AND(E38=0,E40=0,ABS(E42)&lt;0.5),"TIES","DISCREPANCY")</f>
        <v>DISCREPANCY</v>
      </c>
      <c r="F43" s="11" t="str">
        <f aca="false">IF(AND(F38=0,F40=0,ABS(F42)&lt;0.5),"TIES","DISCREPANCY")</f>
        <v>TIES</v>
      </c>
      <c r="G43" s="6"/>
    </row>
    <row r="44" customFormat="false" ht="28.35" hidden="false" customHeight="false" outlineLevel="0" collapsed="false">
      <c r="A44" s="6" t="s">
        <v>62</v>
      </c>
      <c r="B44" s="6" t="s">
        <v>42</v>
      </c>
      <c r="C44" s="12" t="n">
        <f aca="false">C11-(INT(C26/2)+1)</f>
        <v>7</v>
      </c>
      <c r="D44" s="12" t="n">
        <f aca="false">D11-(INT(D26/2)+1)</f>
        <v>-2</v>
      </c>
      <c r="E44" s="12" t="n">
        <f aca="false">E11-(INT(E26/2)+1)</f>
        <v>68</v>
      </c>
      <c r="F44" s="12" t="n">
        <f aca="false">F11-(INT(F26/2)+1)</f>
        <v>-3</v>
      </c>
      <c r="G44" s="6" t="s">
        <v>63</v>
      </c>
    </row>
    <row r="45" customFormat="false" ht="15" hidden="false" customHeight="false" outlineLevel="0" collapsed="false">
      <c r="A45" s="6" t="s">
        <v>64</v>
      </c>
      <c r="B45" s="6" t="s">
        <v>42</v>
      </c>
      <c r="C45" s="13" t="n">
        <f aca="false">C12-2/3*C27</f>
        <v>82973333.3333333</v>
      </c>
      <c r="D45" s="13" t="n">
        <f aca="false">D12-2/3*D27</f>
        <v>-31663333.3333333</v>
      </c>
      <c r="E45" s="13" t="n">
        <f aca="false">E12-2/3*E27</f>
        <v>2072733.33333334</v>
      </c>
      <c r="F45" s="13" t="n">
        <f aca="false">F12-2/3*F27</f>
        <v>-1048333.33333333</v>
      </c>
      <c r="G45" s="6" t="s">
        <v>65</v>
      </c>
    </row>
    <row r="46" customFormat="false" ht="15" hidden="false" customHeight="false" outlineLevel="0" collapsed="false">
      <c r="A46" s="6"/>
      <c r="B46" s="6"/>
      <c r="C46" s="11"/>
      <c r="D46" s="11"/>
      <c r="E46" s="11"/>
      <c r="F46" s="11"/>
      <c r="G46" s="6"/>
    </row>
    <row r="47" customFormat="false" ht="28.35" hidden="false" customHeight="false" outlineLevel="0" collapsed="false">
      <c r="A47" s="4" t="s">
        <v>66</v>
      </c>
      <c r="B47" s="5"/>
      <c r="C47" s="5"/>
      <c r="D47" s="5"/>
      <c r="E47" s="5"/>
      <c r="F47" s="5"/>
      <c r="G47" s="5"/>
    </row>
    <row r="48" customFormat="false" ht="15" hidden="false" customHeight="false" outlineLevel="0" collapsed="false">
      <c r="A48" s="6" t="s">
        <v>67</v>
      </c>
      <c r="B48" s="6" t="s">
        <v>68</v>
      </c>
      <c r="C48" s="15" t="n">
        <f aca="false">'Ballot Detail'!$E$94</f>
        <v>18</v>
      </c>
      <c r="D48" s="15" t="n">
        <f aca="false">'Ballot Detail'!$E$102</f>
        <v>5</v>
      </c>
      <c r="E48" s="15" t="n">
        <f aca="false">'Ballot Detail'!$E$110</f>
        <v>29</v>
      </c>
      <c r="F48" s="15" t="n">
        <f aca="false">'Ballot Detail'!$E$118</f>
        <v>1</v>
      </c>
      <c r="G48" s="6"/>
    </row>
    <row r="49" customFormat="false" ht="15" hidden="false" customHeight="false" outlineLevel="0" collapsed="false">
      <c r="A49" s="6" t="s">
        <v>69</v>
      </c>
      <c r="B49" s="6" t="s">
        <v>48</v>
      </c>
      <c r="C49" s="12" t="n">
        <f aca="false">C48-C11</f>
        <v>0</v>
      </c>
      <c r="D49" s="12" t="n">
        <f aca="false">D48-D11</f>
        <v>0</v>
      </c>
      <c r="E49" s="12" t="s">
        <v>70</v>
      </c>
      <c r="F49" s="12" t="n">
        <f aca="false">F48-F11</f>
        <v>0</v>
      </c>
      <c r="G49" s="6"/>
    </row>
    <row r="50" customFormat="false" ht="15" hidden="false" customHeight="false" outlineLevel="0" collapsed="false">
      <c r="A50" s="6" t="s">
        <v>71</v>
      </c>
      <c r="B50" s="6" t="s">
        <v>68</v>
      </c>
      <c r="C50" s="16" t="n">
        <f aca="false">'Ballot Detail'!$F$94</f>
        <v>278420000</v>
      </c>
      <c r="D50" s="16" t="n">
        <f aca="false">'Ballot Detail'!$F$102</f>
        <v>29870000</v>
      </c>
      <c r="E50" s="16" t="n">
        <f aca="false">'Ballot Detail'!$F$110</f>
        <v>6427000</v>
      </c>
      <c r="F50" s="16" t="n">
        <f aca="false">'Ballot Detail'!$F$118</f>
        <v>215000</v>
      </c>
      <c r="G50" s="6"/>
    </row>
    <row r="51" customFormat="false" ht="15" hidden="false" customHeight="false" outlineLevel="0" collapsed="false">
      <c r="A51" s="6" t="s">
        <v>69</v>
      </c>
      <c r="B51" s="6" t="s">
        <v>48</v>
      </c>
      <c r="C51" s="13" t="n">
        <f aca="false">C50-C12</f>
        <v>0</v>
      </c>
      <c r="D51" s="13" t="n">
        <f aca="false">D50-D12</f>
        <v>0</v>
      </c>
      <c r="E51" s="13" t="s">
        <v>70</v>
      </c>
      <c r="F51" s="13" t="n">
        <f aca="false">F50-F12</f>
        <v>0</v>
      </c>
      <c r="G51" s="6"/>
    </row>
    <row r="52" customFormat="false" ht="15" hidden="false" customHeight="false" outlineLevel="0" collapsed="false">
      <c r="A52" s="6" t="s">
        <v>72</v>
      </c>
      <c r="B52" s="6" t="s">
        <v>68</v>
      </c>
      <c r="C52" s="15" t="n">
        <f aca="false">'Ballot Detail'!$E$95</f>
        <v>2</v>
      </c>
      <c r="D52" s="15" t="n">
        <f aca="false">'Ballot Detail'!$E$103</f>
        <v>7</v>
      </c>
      <c r="E52" s="15" t="n">
        <f aca="false">'Ballot Detail'!$E$111</f>
        <v>10</v>
      </c>
      <c r="F52" s="15" t="n">
        <f aca="false">'Ballot Detail'!$E$119</f>
        <v>5</v>
      </c>
      <c r="G52" s="6"/>
    </row>
    <row r="53" customFormat="false" ht="15" hidden="false" customHeight="false" outlineLevel="0" collapsed="false">
      <c r="A53" s="6" t="s">
        <v>69</v>
      </c>
      <c r="B53" s="6" t="s">
        <v>48</v>
      </c>
      <c r="C53" s="12" t="n">
        <f aca="false">C52-C13</f>
        <v>0</v>
      </c>
      <c r="D53" s="12" t="n">
        <f aca="false">D52-D13</f>
        <v>0</v>
      </c>
      <c r="E53" s="12" t="s">
        <v>70</v>
      </c>
      <c r="F53" s="12" t="n">
        <f aca="false">F52-F13</f>
        <v>0</v>
      </c>
      <c r="G53" s="6"/>
    </row>
    <row r="54" customFormat="false" ht="15" hidden="false" customHeight="false" outlineLevel="0" collapsed="false">
      <c r="A54" s="6" t="s">
        <v>73</v>
      </c>
      <c r="B54" s="6" t="s">
        <v>68</v>
      </c>
      <c r="C54" s="16" t="n">
        <f aca="false">'Ballot Detail'!$F$95</f>
        <v>14750000</v>
      </c>
      <c r="D54" s="16" t="n">
        <f aca="false">'Ballot Detail'!$F$103</f>
        <v>62430000</v>
      </c>
      <c r="E54" s="16" t="n">
        <f aca="false">'Ballot Detail'!$F$111</f>
        <v>2365000</v>
      </c>
      <c r="F54" s="16" t="n">
        <f aca="false">'Ballot Detail'!$F$119</f>
        <v>1680000</v>
      </c>
      <c r="G54" s="6"/>
    </row>
    <row r="55" customFormat="false" ht="15" hidden="false" customHeight="false" outlineLevel="0" collapsed="false">
      <c r="A55" s="6" t="s">
        <v>69</v>
      </c>
      <c r="B55" s="6" t="s">
        <v>48</v>
      </c>
      <c r="C55" s="13" t="n">
        <f aca="false">C54-C14</f>
        <v>0</v>
      </c>
      <c r="D55" s="13" t="n">
        <f aca="false">D54-D14</f>
        <v>0</v>
      </c>
      <c r="E55" s="13" t="s">
        <v>70</v>
      </c>
      <c r="F55" s="13" t="n">
        <f aca="false">F54-F14</f>
        <v>0</v>
      </c>
      <c r="G55" s="6"/>
    </row>
    <row r="56" customFormat="false" ht="15" hidden="false" customHeight="false" outlineLevel="0" collapsed="false">
      <c r="A56" s="6" t="s">
        <v>74</v>
      </c>
      <c r="B56" s="6" t="s">
        <v>68</v>
      </c>
      <c r="C56" s="15" t="n">
        <f aca="false">'Ballot Detail'!$E$99</f>
        <v>2</v>
      </c>
      <c r="D56" s="15" t="n">
        <f aca="false">'Ballot Detail'!$E$107</f>
        <v>1</v>
      </c>
      <c r="E56" s="15" t="n">
        <f aca="false">'Ballot Detail'!$E$115</f>
        <v>0</v>
      </c>
      <c r="F56" s="15" t="n">
        <f aca="false">'Ballot Detail'!$E$123</f>
        <v>2</v>
      </c>
      <c r="G56" s="6"/>
    </row>
    <row r="57" customFormat="false" ht="15" hidden="false" customHeight="false" outlineLevel="0" collapsed="false">
      <c r="A57" s="6" t="s">
        <v>69</v>
      </c>
      <c r="B57" s="6" t="s">
        <v>48</v>
      </c>
      <c r="C57" s="12" t="n">
        <f aca="false">C56-C17</f>
        <v>0</v>
      </c>
      <c r="D57" s="12" t="n">
        <f aca="false">D56-D17</f>
        <v>0</v>
      </c>
      <c r="E57" s="12" t="s">
        <v>70</v>
      </c>
      <c r="F57" s="12" t="n">
        <f aca="false">F56-F17</f>
        <v>0</v>
      </c>
      <c r="G57" s="6"/>
    </row>
    <row r="58" customFormat="false" ht="15" hidden="false" customHeight="false" outlineLevel="0" collapsed="false">
      <c r="A58" s="6" t="s">
        <v>75</v>
      </c>
      <c r="B58" s="6" t="s">
        <v>68</v>
      </c>
      <c r="C58" s="16" t="n">
        <f aca="false">'Ballot Detail'!$F$99</f>
        <v>4030000</v>
      </c>
      <c r="D58" s="16" t="n">
        <f aca="false">'Ballot Detail'!$F$107</f>
        <v>5000000</v>
      </c>
      <c r="E58" s="16" t="n">
        <f aca="false">'Ballot Detail'!$F$115</f>
        <v>0</v>
      </c>
      <c r="F58" s="16" t="n">
        <f aca="false">'Ballot Detail'!$F$123</f>
        <v>250000</v>
      </c>
      <c r="G58" s="6"/>
    </row>
    <row r="59" customFormat="false" ht="15" hidden="false" customHeight="false" outlineLevel="0" collapsed="false">
      <c r="A59" s="6" t="s">
        <v>69</v>
      </c>
      <c r="B59" s="6" t="s">
        <v>48</v>
      </c>
      <c r="C59" s="13" t="n">
        <f aca="false">C58-C18</f>
        <v>0</v>
      </c>
      <c r="D59" s="13" t="n">
        <f aca="false">D58-D18</f>
        <v>0</v>
      </c>
      <c r="E59" s="13" t="s">
        <v>70</v>
      </c>
      <c r="F59" s="13" t="n">
        <f aca="false">F58-F18</f>
        <v>0</v>
      </c>
      <c r="G59" s="6"/>
    </row>
    <row r="60" customFormat="false" ht="15" hidden="false" customHeight="false" outlineLevel="0" collapsed="false">
      <c r="A60" s="6" t="s">
        <v>76</v>
      </c>
      <c r="B60" s="6" t="s">
        <v>68</v>
      </c>
      <c r="C60" s="16" t="n">
        <f aca="false">'Ballot Detail'!$F$100</f>
        <v>308500000</v>
      </c>
      <c r="D60" s="16" t="n">
        <f aca="false">'Ballot Detail'!$F$108</f>
        <v>103500000</v>
      </c>
      <c r="E60" s="16" t="n">
        <f aca="false">'Ballot Detail'!$F$116</f>
        <v>8792000</v>
      </c>
      <c r="F60" s="16" t="n">
        <f aca="false">'Ballot Detail'!$F$124</f>
        <v>2145000</v>
      </c>
      <c r="G60" s="6"/>
    </row>
    <row r="61" customFormat="false" ht="15" hidden="false" customHeight="false" outlineLevel="0" collapsed="false">
      <c r="A61" s="6" t="s">
        <v>59</v>
      </c>
      <c r="B61" s="6" t="s">
        <v>48</v>
      </c>
      <c r="C61" s="13" t="n">
        <f aca="false">C60-C8</f>
        <v>0</v>
      </c>
      <c r="D61" s="13" t="n">
        <f aca="false">D60-D8</f>
        <v>0</v>
      </c>
      <c r="E61" s="13" t="s">
        <v>70</v>
      </c>
      <c r="F61" s="13" t="n">
        <f aca="false">F60-F8</f>
        <v>0</v>
      </c>
      <c r="G61" s="6"/>
    </row>
    <row r="62" customFormat="false" ht="28.35" hidden="false" customHeight="false" outlineLevel="0" collapsed="false">
      <c r="A62" s="6" t="s">
        <v>77</v>
      </c>
      <c r="B62" s="6" t="s">
        <v>78</v>
      </c>
      <c r="C62" s="11"/>
      <c r="D62" s="11"/>
      <c r="E62" s="8" t="n">
        <v>24318400</v>
      </c>
      <c r="F62" s="8" t="n">
        <v>33400000</v>
      </c>
      <c r="G62" s="6" t="s">
        <v>79</v>
      </c>
    </row>
    <row r="63" customFormat="false" ht="28.35" hidden="false" customHeight="false" outlineLevel="0" collapsed="false">
      <c r="A63" s="6" t="s">
        <v>80</v>
      </c>
      <c r="B63" s="6" t="s">
        <v>48</v>
      </c>
      <c r="C63" s="11"/>
      <c r="D63" s="11"/>
      <c r="E63" s="13" t="n">
        <f aca="false">E62-E12</f>
        <v>-63000</v>
      </c>
      <c r="F63" s="13" t="n">
        <f aca="false">F62-E20</f>
        <v>-63000</v>
      </c>
      <c r="G63" s="6" t="s">
        <v>81</v>
      </c>
    </row>
    <row r="64" customFormat="false" ht="55.2" hidden="false" customHeight="false" outlineLevel="0" collapsed="false">
      <c r="A64" s="6" t="s">
        <v>82</v>
      </c>
      <c r="B64" s="6" t="s">
        <v>78</v>
      </c>
      <c r="C64" s="11"/>
      <c r="D64" s="11"/>
      <c r="E64" s="11" t="s">
        <v>83</v>
      </c>
      <c r="F64" s="11"/>
      <c r="G64" s="6"/>
    </row>
    <row r="65" customFormat="false" ht="15" hidden="false" customHeight="false" outlineLevel="0" collapsed="false">
      <c r="A65" s="6"/>
      <c r="B65" s="6"/>
      <c r="C65" s="11"/>
      <c r="D65" s="11"/>
      <c r="E65" s="11"/>
      <c r="F65" s="11"/>
      <c r="G65" s="6"/>
    </row>
    <row r="66" customFormat="false" ht="15" hidden="false" customHeight="false" outlineLevel="0" collapsed="false">
      <c r="A66" s="4" t="s">
        <v>84</v>
      </c>
      <c r="B66" s="5"/>
      <c r="C66" s="5"/>
      <c r="D66" s="5"/>
      <c r="E66" s="5"/>
      <c r="F66" s="5"/>
      <c r="G66" s="5"/>
    </row>
    <row r="67" customFormat="false" ht="48" hidden="false" customHeight="true" outlineLevel="0" collapsed="false">
      <c r="A67" s="17" t="s">
        <v>85</v>
      </c>
      <c r="B67" s="2" t="s">
        <v>86</v>
      </c>
      <c r="C67" s="2"/>
      <c r="D67" s="2"/>
      <c r="E67" s="2"/>
      <c r="F67" s="2"/>
      <c r="G67" s="2"/>
    </row>
    <row r="68" customFormat="false" ht="48" hidden="false" customHeight="true" outlineLevel="0" collapsed="false">
      <c r="A68" s="17" t="s">
        <v>87</v>
      </c>
      <c r="B68" s="2" t="s">
        <v>88</v>
      </c>
      <c r="C68" s="2"/>
      <c r="D68" s="2"/>
      <c r="E68" s="2"/>
      <c r="F68" s="2"/>
      <c r="G68" s="2"/>
    </row>
    <row r="69" customFormat="false" ht="48" hidden="false" customHeight="true" outlineLevel="0" collapsed="false">
      <c r="A69" s="17" t="s">
        <v>89</v>
      </c>
      <c r="B69" s="2" t="s">
        <v>90</v>
      </c>
      <c r="C69" s="2"/>
      <c r="D69" s="2"/>
      <c r="E69" s="2"/>
      <c r="F69" s="2"/>
      <c r="G69" s="2"/>
    </row>
    <row r="70" customFormat="false" ht="48" hidden="false" customHeight="true" outlineLevel="0" collapsed="false">
      <c r="A70" s="17" t="s">
        <v>91</v>
      </c>
      <c r="B70" s="2" t="s">
        <v>92</v>
      </c>
      <c r="C70" s="2"/>
      <c r="D70" s="2"/>
      <c r="E70" s="2"/>
      <c r="F70" s="2"/>
      <c r="G70" s="2"/>
    </row>
    <row r="71" customFormat="false" ht="48" hidden="false" customHeight="true" outlineLevel="0" collapsed="false">
      <c r="A71" s="17" t="s">
        <v>93</v>
      </c>
      <c r="B71" s="2" t="s">
        <v>94</v>
      </c>
      <c r="C71" s="2"/>
      <c r="D71" s="2"/>
      <c r="E71" s="2"/>
      <c r="F71" s="2"/>
      <c r="G71" s="2"/>
    </row>
    <row r="72" customFormat="false" ht="48" hidden="false" customHeight="true" outlineLevel="0" collapsed="false">
      <c r="A72" s="17" t="s">
        <v>95</v>
      </c>
      <c r="B72" s="2" t="s">
        <v>96</v>
      </c>
      <c r="C72" s="2"/>
      <c r="D72" s="2"/>
      <c r="E72" s="2"/>
      <c r="F72" s="2"/>
      <c r="G72" s="2"/>
    </row>
  </sheetData>
  <mergeCells count="8">
    <mergeCell ref="A2:G2"/>
    <mergeCell ref="A3:G3"/>
    <mergeCell ref="B67:G67"/>
    <mergeCell ref="B68:G68"/>
    <mergeCell ref="B69:G69"/>
    <mergeCell ref="B70:G70"/>
    <mergeCell ref="B71:G71"/>
    <mergeCell ref="B72:G72"/>
  </mergeCells>
  <conditionalFormatting sqref="C6:F73">
    <cfRule type="expression" priority="2" aboveAverage="0" equalAverage="0" bottom="0" percent="0" rank="0" text="" dxfId="0">
      <formula>ISNUMBER(SEARCH("FAIL",C6))</formula>
    </cfRule>
    <cfRule type="expression" priority="3" aboveAverage="0" equalAverage="0" bottom="0" percent="0" rank="0" text="" dxfId="0">
      <formula>ISNUMBER(SEARCH("DISCREP",C6))</formula>
    </cfRule>
    <cfRule type="expression" priority="4" aboveAverage="0" equalAverage="0" bottom="0" percent="0" rank="0" text="" dxfId="1">
      <formula>ISNUMBER(SEARCH("NOT MET",C6))</formula>
    </cfRule>
    <cfRule type="expression" priority="5" aboveAverage="0" equalAverage="0" bottom="0" percent="0" rank="0" text="" dxfId="1">
      <formula>ISNUMBER(SEARCH("REJECTS",C6))</formula>
    </cfRule>
    <cfRule type="expression" priority="6" aboveAverage="0" equalAverage="0" bottom="0" percent="0" rank="0" text="" dxfId="2">
      <formula>ISNUMBER(SEARCH("PASS",C6))</formula>
    </cfRule>
    <cfRule type="expression" priority="7" aboveAverage="0" equalAverage="0" bottom="0" percent="0" rank="0" text="" dxfId="2">
      <formula>ISNUMBER(SEARCH("TIES",C6))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40"/>
    <col collapsed="false" customWidth="true" hidden="false" outlineLevel="0" max="4" min="4" style="0" width="9"/>
    <col collapsed="false" customWidth="true" hidden="false" outlineLevel="0" max="5" min="5" style="0" width="16"/>
    <col collapsed="false" customWidth="true" hidden="false" outlineLevel="0" max="6" min="6" style="0" width="22"/>
    <col collapsed="false" customWidth="true" hidden="false" outlineLevel="0" max="7" min="7" style="0" width="13"/>
    <col collapsed="false" customWidth="true" hidden="false" outlineLevel="0" max="9" min="8" style="0" width="11"/>
    <col collapsed="false" customWidth="true" hidden="false" outlineLevel="0" max="10" min="10" style="0" width="12"/>
    <col collapsed="false" customWidth="true" hidden="false" outlineLevel="0" max="11" min="11" style="0" width="13"/>
    <col collapsed="false" customWidth="true" hidden="false" outlineLevel="0" max="12" min="12" style="0" width="30"/>
    <col collapsed="false" customWidth="true" hidden="false" outlineLevel="0" max="13" min="13" style="0" width="60"/>
  </cols>
  <sheetData>
    <row r="1" customFormat="false" ht="17.35" hidden="false" customHeight="false" outlineLevel="0" collapsed="false">
      <c r="A1" s="1" t="s">
        <v>97</v>
      </c>
    </row>
    <row r="2" customFormat="false" ht="45" hidden="false" customHeight="true" outlineLevel="0" collapsed="false">
      <c r="A2" s="2" t="s">
        <v>98</v>
      </c>
      <c r="B2" s="2"/>
      <c r="C2" s="2"/>
      <c r="D2" s="2"/>
      <c r="E2" s="2"/>
      <c r="F2" s="2"/>
      <c r="G2" s="2"/>
      <c r="H2" s="2"/>
      <c r="I2" s="2"/>
      <c r="J2" s="2"/>
      <c r="K2" s="2"/>
      <c r="L2" s="2"/>
      <c r="M2" s="2"/>
    </row>
    <row r="4" customFormat="false" ht="55.2" hidden="false" customHeight="false" outlineLevel="0" collapsed="false">
      <c r="A4" s="3" t="s">
        <v>99</v>
      </c>
      <c r="B4" s="3" t="s">
        <v>100</v>
      </c>
      <c r="C4" s="3" t="s">
        <v>101</v>
      </c>
      <c r="D4" s="3" t="s">
        <v>102</v>
      </c>
      <c r="E4" s="3" t="s">
        <v>103</v>
      </c>
      <c r="F4" s="3" t="s">
        <v>104</v>
      </c>
      <c r="G4" s="3" t="s">
        <v>105</v>
      </c>
      <c r="H4" s="3" t="s">
        <v>106</v>
      </c>
      <c r="I4" s="3" t="s">
        <v>107</v>
      </c>
      <c r="J4" s="3" t="s">
        <v>108</v>
      </c>
      <c r="K4" s="3" t="s">
        <v>109</v>
      </c>
      <c r="L4" s="3" t="s">
        <v>110</v>
      </c>
      <c r="M4" s="3" t="s">
        <v>111</v>
      </c>
    </row>
    <row r="5" customFormat="false" ht="15" hidden="false" customHeight="false" outlineLevel="0" collapsed="false">
      <c r="A5" s="18" t="n">
        <v>2</v>
      </c>
      <c r="B5" s="18" t="n">
        <v>1</v>
      </c>
      <c r="C5" s="18" t="s">
        <v>112</v>
      </c>
      <c r="D5" s="18" t="n">
        <v>1</v>
      </c>
      <c r="E5" s="19" t="n">
        <v>187300000</v>
      </c>
      <c r="F5" s="18" t="s">
        <v>113</v>
      </c>
      <c r="G5" s="18" t="s">
        <v>113</v>
      </c>
      <c r="H5" s="18" t="str">
        <f aca="false">IF(OR(G5="Accept",G5="Reject"),"Yes","No")</f>
        <v>Yes</v>
      </c>
      <c r="I5" s="18" t="s">
        <v>114</v>
      </c>
      <c r="J5" s="18"/>
      <c r="K5" s="18"/>
      <c r="L5" s="18"/>
      <c r="M5" s="18" t="s">
        <v>115</v>
      </c>
    </row>
    <row r="6" customFormat="false" ht="28.35" hidden="false" customHeight="false" outlineLevel="0" collapsed="false">
      <c r="A6" s="18" t="n">
        <v>2</v>
      </c>
      <c r="B6" s="18" t="n">
        <v>2</v>
      </c>
      <c r="C6" s="18" t="s">
        <v>116</v>
      </c>
      <c r="D6" s="18" t="n">
        <v>8</v>
      </c>
      <c r="E6" s="19" t="n">
        <v>15600000</v>
      </c>
      <c r="F6" s="18" t="s">
        <v>113</v>
      </c>
      <c r="G6" s="18" t="s">
        <v>113</v>
      </c>
      <c r="H6" s="18" t="str">
        <f aca="false">IF(OR(G6="Accept",G6="Reject"),"Yes","No")</f>
        <v>Yes</v>
      </c>
      <c r="I6" s="18" t="s">
        <v>114</v>
      </c>
      <c r="J6" s="18"/>
      <c r="K6" s="18"/>
      <c r="L6" s="18" t="s">
        <v>117</v>
      </c>
      <c r="M6" s="18" t="s">
        <v>118</v>
      </c>
    </row>
    <row r="7" customFormat="false" ht="28.35" hidden="false" customHeight="false" outlineLevel="0" collapsed="false">
      <c r="A7" s="18" t="n">
        <v>2</v>
      </c>
      <c r="B7" s="18" t="n">
        <v>3</v>
      </c>
      <c r="C7" s="18" t="s">
        <v>119</v>
      </c>
      <c r="D7" s="18" t="n">
        <v>12</v>
      </c>
      <c r="E7" s="19" t="n">
        <v>11300000</v>
      </c>
      <c r="F7" s="18" t="s">
        <v>120</v>
      </c>
      <c r="G7" s="18" t="s">
        <v>121</v>
      </c>
      <c r="H7" s="18" t="str">
        <f aca="false">IF(OR(G7="Accept",G7="Reject"),"Yes","No")</f>
        <v>No</v>
      </c>
      <c r="I7" s="18" t="s">
        <v>114</v>
      </c>
      <c r="J7" s="18"/>
      <c r="K7" s="18"/>
      <c r="L7" s="18" t="s">
        <v>122</v>
      </c>
      <c r="M7" s="18" t="s">
        <v>123</v>
      </c>
    </row>
    <row r="8" customFormat="false" ht="15" hidden="false" customHeight="false" outlineLevel="0" collapsed="false">
      <c r="A8" s="18" t="n">
        <v>2</v>
      </c>
      <c r="B8" s="18" t="n">
        <v>4</v>
      </c>
      <c r="C8" s="18" t="s">
        <v>124</v>
      </c>
      <c r="D8" s="18" t="n">
        <v>15</v>
      </c>
      <c r="E8" s="19" t="n">
        <v>8200000</v>
      </c>
      <c r="F8" s="18" t="s">
        <v>125</v>
      </c>
      <c r="G8" s="18" t="s">
        <v>125</v>
      </c>
      <c r="H8" s="18" t="str">
        <f aca="false">IF(OR(G8="Accept",G8="Reject"),"Yes","No")</f>
        <v>Yes</v>
      </c>
      <c r="I8" s="18" t="s">
        <v>114</v>
      </c>
      <c r="J8" s="18"/>
      <c r="K8" s="18"/>
      <c r="L8" s="18"/>
      <c r="M8" s="18"/>
    </row>
    <row r="9" customFormat="false" ht="15" hidden="false" customHeight="false" outlineLevel="0" collapsed="false">
      <c r="A9" s="18" t="n">
        <v>2</v>
      </c>
      <c r="B9" s="18" t="n">
        <v>5</v>
      </c>
      <c r="C9" s="18" t="s">
        <v>126</v>
      </c>
      <c r="D9" s="18" t="n">
        <v>18</v>
      </c>
      <c r="E9" s="19" t="n">
        <v>6550000</v>
      </c>
      <c r="F9" s="18" t="s">
        <v>125</v>
      </c>
      <c r="G9" s="18" t="s">
        <v>125</v>
      </c>
      <c r="H9" s="18" t="str">
        <f aca="false">IF(OR(G9="Accept",G9="Reject"),"Yes","No")</f>
        <v>Yes</v>
      </c>
      <c r="I9" s="18" t="s">
        <v>114</v>
      </c>
      <c r="J9" s="18"/>
      <c r="K9" s="18"/>
      <c r="L9" s="18"/>
      <c r="M9" s="18"/>
    </row>
    <row r="10" customFormat="false" ht="15" hidden="false" customHeight="false" outlineLevel="0" collapsed="false">
      <c r="A10" s="18" t="n">
        <v>2</v>
      </c>
      <c r="B10" s="18" t="n">
        <v>6</v>
      </c>
      <c r="C10" s="18" t="s">
        <v>127</v>
      </c>
      <c r="D10" s="18" t="n">
        <v>2</v>
      </c>
      <c r="E10" s="19" t="n">
        <v>9800000</v>
      </c>
      <c r="F10" s="18" t="s">
        <v>113</v>
      </c>
      <c r="G10" s="18" t="s">
        <v>113</v>
      </c>
      <c r="H10" s="18" t="str">
        <f aca="false">IF(OR(G10="Accept",G10="Reject"),"Yes","No")</f>
        <v>Yes</v>
      </c>
      <c r="I10" s="18" t="s">
        <v>114</v>
      </c>
      <c r="J10" s="18"/>
      <c r="K10" s="18"/>
      <c r="L10" s="18"/>
      <c r="M10" s="18"/>
    </row>
    <row r="11" customFormat="false" ht="15" hidden="false" customHeight="false" outlineLevel="0" collapsed="false">
      <c r="A11" s="18" t="n">
        <v>2</v>
      </c>
      <c r="B11" s="18" t="n">
        <v>7</v>
      </c>
      <c r="C11" s="18" t="s">
        <v>128</v>
      </c>
      <c r="D11" s="18" t="n">
        <v>3</v>
      </c>
      <c r="E11" s="19" t="n">
        <v>8450000</v>
      </c>
      <c r="F11" s="18" t="s">
        <v>113</v>
      </c>
      <c r="G11" s="18" t="s">
        <v>113</v>
      </c>
      <c r="H11" s="18" t="str">
        <f aca="false">IF(OR(G11="Accept",G11="Reject"),"Yes","No")</f>
        <v>Yes</v>
      </c>
      <c r="I11" s="18" t="s">
        <v>114</v>
      </c>
      <c r="J11" s="18"/>
      <c r="K11" s="18"/>
      <c r="L11" s="18"/>
      <c r="M11" s="18"/>
    </row>
    <row r="12" customFormat="false" ht="15" hidden="false" customHeight="false" outlineLevel="0" collapsed="false">
      <c r="A12" s="18" t="n">
        <v>2</v>
      </c>
      <c r="B12" s="18" t="n">
        <v>8</v>
      </c>
      <c r="C12" s="18" t="s">
        <v>129</v>
      </c>
      <c r="D12" s="18" t="n">
        <v>4</v>
      </c>
      <c r="E12" s="19" t="n">
        <v>7200000</v>
      </c>
      <c r="F12" s="18" t="s">
        <v>113</v>
      </c>
      <c r="G12" s="18" t="s">
        <v>113</v>
      </c>
      <c r="H12" s="18" t="str">
        <f aca="false">IF(OR(G12="Accept",G12="Reject"),"Yes","No")</f>
        <v>Yes</v>
      </c>
      <c r="I12" s="18" t="s">
        <v>114</v>
      </c>
      <c r="J12" s="18"/>
      <c r="K12" s="18"/>
      <c r="L12" s="18"/>
      <c r="M12" s="18"/>
    </row>
    <row r="13" customFormat="false" ht="15" hidden="false" customHeight="false" outlineLevel="0" collapsed="false">
      <c r="A13" s="18" t="n">
        <v>2</v>
      </c>
      <c r="B13" s="18" t="n">
        <v>9</v>
      </c>
      <c r="C13" s="18" t="s">
        <v>130</v>
      </c>
      <c r="D13" s="18" t="n">
        <v>5</v>
      </c>
      <c r="E13" s="19" t="n">
        <v>6900000</v>
      </c>
      <c r="F13" s="18" t="s">
        <v>113</v>
      </c>
      <c r="G13" s="18" t="s">
        <v>113</v>
      </c>
      <c r="H13" s="18" t="str">
        <f aca="false">IF(OR(G13="Accept",G13="Reject"),"Yes","No")</f>
        <v>Yes</v>
      </c>
      <c r="I13" s="18" t="s">
        <v>114</v>
      </c>
      <c r="J13" s="18"/>
      <c r="K13" s="18"/>
      <c r="L13" s="18"/>
      <c r="M13" s="18"/>
    </row>
    <row r="14" customFormat="false" ht="15" hidden="false" customHeight="false" outlineLevel="0" collapsed="false">
      <c r="A14" s="18" t="n">
        <v>2</v>
      </c>
      <c r="B14" s="18" t="n">
        <v>10</v>
      </c>
      <c r="C14" s="18" t="s">
        <v>131</v>
      </c>
      <c r="D14" s="18" t="n">
        <v>6</v>
      </c>
      <c r="E14" s="19" t="n">
        <v>6300000</v>
      </c>
      <c r="F14" s="18" t="s">
        <v>113</v>
      </c>
      <c r="G14" s="18" t="s">
        <v>113</v>
      </c>
      <c r="H14" s="18" t="str">
        <f aca="false">IF(OR(G14="Accept",G14="Reject"),"Yes","No")</f>
        <v>Yes</v>
      </c>
      <c r="I14" s="18" t="s">
        <v>114</v>
      </c>
      <c r="J14" s="18"/>
      <c r="K14" s="18"/>
      <c r="L14" s="18"/>
      <c r="M14" s="18"/>
    </row>
    <row r="15" customFormat="false" ht="15" hidden="false" customHeight="false" outlineLevel="0" collapsed="false">
      <c r="A15" s="18" t="n">
        <v>2</v>
      </c>
      <c r="B15" s="18" t="n">
        <v>11</v>
      </c>
      <c r="C15" s="18" t="s">
        <v>132</v>
      </c>
      <c r="D15" s="18" t="n">
        <v>7</v>
      </c>
      <c r="E15" s="19" t="n">
        <v>5750000</v>
      </c>
      <c r="F15" s="18" t="s">
        <v>113</v>
      </c>
      <c r="G15" s="18" t="s">
        <v>113</v>
      </c>
      <c r="H15" s="18" t="str">
        <f aca="false">IF(OR(G15="Accept",G15="Reject"),"Yes","No")</f>
        <v>Yes</v>
      </c>
      <c r="I15" s="18" t="s">
        <v>114</v>
      </c>
      <c r="J15" s="18"/>
      <c r="K15" s="18"/>
      <c r="L15" s="18"/>
      <c r="M15" s="18"/>
    </row>
    <row r="16" customFormat="false" ht="15" hidden="false" customHeight="false" outlineLevel="0" collapsed="false">
      <c r="A16" s="18" t="n">
        <v>2</v>
      </c>
      <c r="B16" s="18" t="n">
        <v>12</v>
      </c>
      <c r="C16" s="18" t="s">
        <v>133</v>
      </c>
      <c r="D16" s="18" t="n">
        <v>9</v>
      </c>
      <c r="E16" s="19" t="n">
        <v>5100000</v>
      </c>
      <c r="F16" s="18" t="s">
        <v>113</v>
      </c>
      <c r="G16" s="18" t="s">
        <v>113</v>
      </c>
      <c r="H16" s="18" t="str">
        <f aca="false">IF(OR(G16="Accept",G16="Reject"),"Yes","No")</f>
        <v>Yes</v>
      </c>
      <c r="I16" s="18" t="s">
        <v>114</v>
      </c>
      <c r="J16" s="18"/>
      <c r="K16" s="18"/>
      <c r="L16" s="18"/>
      <c r="M16" s="18"/>
    </row>
    <row r="17" customFormat="false" ht="15" hidden="false" customHeight="false" outlineLevel="0" collapsed="false">
      <c r="A17" s="18" t="n">
        <v>2</v>
      </c>
      <c r="B17" s="18" t="n">
        <v>13</v>
      </c>
      <c r="C17" s="18" t="s">
        <v>134</v>
      </c>
      <c r="D17" s="18" t="n">
        <v>10</v>
      </c>
      <c r="E17" s="19" t="n">
        <v>4800000</v>
      </c>
      <c r="F17" s="18" t="s">
        <v>113</v>
      </c>
      <c r="G17" s="18" t="s">
        <v>113</v>
      </c>
      <c r="H17" s="18" t="str">
        <f aca="false">IF(OR(G17="Accept",G17="Reject"),"Yes","No")</f>
        <v>Yes</v>
      </c>
      <c r="I17" s="18" t="s">
        <v>114</v>
      </c>
      <c r="J17" s="18"/>
      <c r="K17" s="18"/>
      <c r="L17" s="18"/>
      <c r="M17" s="18"/>
    </row>
    <row r="18" customFormat="false" ht="15" hidden="false" customHeight="false" outlineLevel="0" collapsed="false">
      <c r="A18" s="18" t="n">
        <v>2</v>
      </c>
      <c r="B18" s="18" t="n">
        <v>14</v>
      </c>
      <c r="C18" s="18" t="s">
        <v>135</v>
      </c>
      <c r="D18" s="18" t="n">
        <v>11</v>
      </c>
      <c r="E18" s="19" t="n">
        <v>4500000</v>
      </c>
      <c r="F18" s="18" t="s">
        <v>113</v>
      </c>
      <c r="G18" s="18" t="s">
        <v>113</v>
      </c>
      <c r="H18" s="18" t="str">
        <f aca="false">IF(OR(G18="Accept",G18="Reject"),"Yes","No")</f>
        <v>Yes</v>
      </c>
      <c r="I18" s="18" t="s">
        <v>114</v>
      </c>
      <c r="J18" s="18"/>
      <c r="K18" s="18"/>
      <c r="L18" s="18"/>
      <c r="M18" s="18"/>
    </row>
    <row r="19" customFormat="false" ht="15" hidden="false" customHeight="false" outlineLevel="0" collapsed="false">
      <c r="A19" s="18" t="n">
        <v>2</v>
      </c>
      <c r="B19" s="18" t="n">
        <v>15</v>
      </c>
      <c r="C19" s="18" t="s">
        <v>136</v>
      </c>
      <c r="D19" s="18" t="n">
        <v>13</v>
      </c>
      <c r="E19" s="19" t="n">
        <v>3900000</v>
      </c>
      <c r="F19" s="18" t="s">
        <v>113</v>
      </c>
      <c r="G19" s="18" t="s">
        <v>113</v>
      </c>
      <c r="H19" s="18" t="str">
        <f aca="false">IF(OR(G19="Accept",G19="Reject"),"Yes","No")</f>
        <v>Yes</v>
      </c>
      <c r="I19" s="18" t="s">
        <v>114</v>
      </c>
      <c r="J19" s="18"/>
      <c r="K19" s="18"/>
      <c r="L19" s="18"/>
      <c r="M19" s="18"/>
    </row>
    <row r="20" customFormat="false" ht="15" hidden="false" customHeight="false" outlineLevel="0" collapsed="false">
      <c r="A20" s="18" t="n">
        <v>2</v>
      </c>
      <c r="B20" s="18" t="n">
        <v>16</v>
      </c>
      <c r="C20" s="18" t="s">
        <v>137</v>
      </c>
      <c r="D20" s="18" t="n">
        <v>14</v>
      </c>
      <c r="E20" s="19" t="n">
        <v>3400000</v>
      </c>
      <c r="F20" s="18" t="s">
        <v>113</v>
      </c>
      <c r="G20" s="18" t="s">
        <v>113</v>
      </c>
      <c r="H20" s="18" t="str">
        <f aca="false">IF(OR(G20="Accept",G20="Reject"),"Yes","No")</f>
        <v>Yes</v>
      </c>
      <c r="I20" s="18" t="s">
        <v>114</v>
      </c>
      <c r="J20" s="18"/>
      <c r="K20" s="18"/>
      <c r="L20" s="18"/>
      <c r="M20" s="18"/>
    </row>
    <row r="21" customFormat="false" ht="15" hidden="false" customHeight="false" outlineLevel="0" collapsed="false">
      <c r="A21" s="18" t="n">
        <v>2</v>
      </c>
      <c r="B21" s="18" t="n">
        <v>17</v>
      </c>
      <c r="C21" s="18" t="s">
        <v>138</v>
      </c>
      <c r="D21" s="18" t="n">
        <v>16</v>
      </c>
      <c r="E21" s="19" t="n">
        <v>2870000</v>
      </c>
      <c r="F21" s="18" t="s">
        <v>113</v>
      </c>
      <c r="G21" s="18" t="s">
        <v>113</v>
      </c>
      <c r="H21" s="18" t="str">
        <f aca="false">IF(OR(G21="Accept",G21="Reject"),"Yes","No")</f>
        <v>Yes</v>
      </c>
      <c r="I21" s="18" t="s">
        <v>114</v>
      </c>
      <c r="J21" s="18"/>
      <c r="K21" s="18"/>
      <c r="L21" s="18"/>
      <c r="M21" s="18"/>
    </row>
    <row r="22" customFormat="false" ht="15" hidden="false" customHeight="false" outlineLevel="0" collapsed="false">
      <c r="A22" s="18" t="n">
        <v>2</v>
      </c>
      <c r="B22" s="18" t="n">
        <v>18</v>
      </c>
      <c r="C22" s="18" t="s">
        <v>139</v>
      </c>
      <c r="D22" s="18" t="n">
        <v>17</v>
      </c>
      <c r="E22" s="19" t="n">
        <v>2650000</v>
      </c>
      <c r="F22" s="18" t="s">
        <v>113</v>
      </c>
      <c r="G22" s="18" t="s">
        <v>113</v>
      </c>
      <c r="H22" s="18" t="str">
        <f aca="false">IF(OR(G22="Accept",G22="Reject"),"Yes","No")</f>
        <v>Yes</v>
      </c>
      <c r="I22" s="18" t="s">
        <v>114</v>
      </c>
      <c r="J22" s="18"/>
      <c r="K22" s="18"/>
      <c r="L22" s="18"/>
      <c r="M22" s="18"/>
    </row>
    <row r="23" customFormat="false" ht="15" hidden="false" customHeight="false" outlineLevel="0" collapsed="false">
      <c r="A23" s="18" t="n">
        <v>2</v>
      </c>
      <c r="B23" s="18" t="n">
        <v>19</v>
      </c>
      <c r="C23" s="18" t="s">
        <v>140</v>
      </c>
      <c r="D23" s="18" t="n">
        <v>19</v>
      </c>
      <c r="E23" s="19" t="n">
        <v>1600000</v>
      </c>
      <c r="F23" s="18" t="s">
        <v>113</v>
      </c>
      <c r="G23" s="18" t="s">
        <v>113</v>
      </c>
      <c r="H23" s="18" t="str">
        <f aca="false">IF(OR(G23="Accept",G23="Reject"),"Yes","No")</f>
        <v>Yes</v>
      </c>
      <c r="I23" s="18" t="s">
        <v>114</v>
      </c>
      <c r="J23" s="18"/>
      <c r="K23" s="18"/>
      <c r="L23" s="18"/>
      <c r="M23" s="18"/>
    </row>
    <row r="24" customFormat="false" ht="15" hidden="false" customHeight="false" outlineLevel="0" collapsed="false">
      <c r="A24" s="18" t="n">
        <v>2</v>
      </c>
      <c r="B24" s="18" t="n">
        <v>20</v>
      </c>
      <c r="C24" s="18" t="s">
        <v>141</v>
      </c>
      <c r="D24" s="18" t="n">
        <v>20</v>
      </c>
      <c r="E24" s="19" t="n">
        <v>2180000</v>
      </c>
      <c r="F24" s="18" t="s">
        <v>142</v>
      </c>
      <c r="G24" s="18" t="s">
        <v>143</v>
      </c>
      <c r="H24" s="18" t="str">
        <f aca="false">IF(OR(G24="Accept",G24="Reject"),"Yes","No")</f>
        <v>No</v>
      </c>
      <c r="I24" s="18" t="s">
        <v>114</v>
      </c>
      <c r="J24" s="18"/>
      <c r="K24" s="18"/>
      <c r="L24" s="18"/>
      <c r="M24" s="18"/>
    </row>
    <row r="25" customFormat="false" ht="15" hidden="false" customHeight="false" outlineLevel="0" collapsed="false">
      <c r="A25" s="18" t="n">
        <v>2</v>
      </c>
      <c r="B25" s="18" t="n">
        <v>21</v>
      </c>
      <c r="C25" s="18" t="s">
        <v>144</v>
      </c>
      <c r="D25" s="18" t="n">
        <v>22</v>
      </c>
      <c r="E25" s="19" t="n">
        <v>1850000</v>
      </c>
      <c r="F25" s="18" t="s">
        <v>142</v>
      </c>
      <c r="G25" s="18" t="s">
        <v>143</v>
      </c>
      <c r="H25" s="18" t="str">
        <f aca="false">IF(OR(G25="Accept",G25="Reject"),"Yes","No")</f>
        <v>No</v>
      </c>
      <c r="I25" s="18" t="s">
        <v>114</v>
      </c>
      <c r="J25" s="18"/>
      <c r="K25" s="18"/>
      <c r="L25" s="18"/>
      <c r="M25" s="18"/>
    </row>
    <row r="26" customFormat="false" ht="15" hidden="false" customHeight="false" outlineLevel="0" collapsed="false">
      <c r="A26" s="18" t="n">
        <v>2</v>
      </c>
      <c r="B26" s="18" t="n">
        <v>22</v>
      </c>
      <c r="C26" s="18" t="s">
        <v>145</v>
      </c>
      <c r="D26" s="18" t="n">
        <v>21</v>
      </c>
      <c r="E26" s="19" t="n">
        <v>1400000</v>
      </c>
      <c r="F26" s="18" t="s">
        <v>113</v>
      </c>
      <c r="G26" s="18" t="s">
        <v>113</v>
      </c>
      <c r="H26" s="18" t="str">
        <f aca="false">IF(OR(G26="Accept",G26="Reject"),"Yes","No")</f>
        <v>Yes</v>
      </c>
      <c r="I26" s="18" t="s">
        <v>114</v>
      </c>
      <c r="J26" s="18"/>
      <c r="K26" s="18"/>
      <c r="L26" s="18"/>
      <c r="M26" s="18"/>
    </row>
    <row r="27" customFormat="false" ht="15" hidden="false" customHeight="false" outlineLevel="0" collapsed="false">
      <c r="A27" s="18" t="n">
        <v>2</v>
      </c>
      <c r="B27" s="18" t="n">
        <v>23</v>
      </c>
      <c r="C27" s="18" t="s">
        <v>146</v>
      </c>
      <c r="D27" s="18" t="n">
        <v>23</v>
      </c>
      <c r="E27" s="19" t="n">
        <v>900000</v>
      </c>
      <c r="F27" s="18" t="s">
        <v>113</v>
      </c>
      <c r="G27" s="18" t="s">
        <v>113</v>
      </c>
      <c r="H27" s="18" t="str">
        <f aca="false">IF(OR(G27="Accept",G27="Reject"),"Yes","No")</f>
        <v>Yes</v>
      </c>
      <c r="I27" s="18" t="s">
        <v>114</v>
      </c>
      <c r="J27" s="18"/>
      <c r="K27" s="18"/>
      <c r="L27" s="18"/>
      <c r="M27" s="18"/>
    </row>
    <row r="28" customFormat="false" ht="28.35" hidden="false" customHeight="false" outlineLevel="0" collapsed="false">
      <c r="A28" s="18" t="n">
        <v>3</v>
      </c>
      <c r="B28" s="18" t="n">
        <v>1</v>
      </c>
      <c r="C28" s="18" t="s">
        <v>147</v>
      </c>
      <c r="D28" s="18" t="n">
        <v>30</v>
      </c>
      <c r="E28" s="19" t="n">
        <v>6200000</v>
      </c>
      <c r="F28" s="18" t="s">
        <v>148</v>
      </c>
      <c r="G28" s="18" t="s">
        <v>149</v>
      </c>
      <c r="H28" s="18" t="str">
        <f aca="false">IF(OR(G28="Accept",G28="Reject"),"Yes","No")</f>
        <v>No</v>
      </c>
      <c r="I28" s="18" t="s">
        <v>114</v>
      </c>
      <c r="J28" s="18"/>
      <c r="K28" s="18"/>
      <c r="L28" s="18" t="s">
        <v>150</v>
      </c>
      <c r="M28" s="18" t="s">
        <v>151</v>
      </c>
    </row>
    <row r="29" customFormat="false" ht="15" hidden="false" customHeight="false" outlineLevel="0" collapsed="false">
      <c r="A29" s="18" t="n">
        <v>3</v>
      </c>
      <c r="B29" s="18" t="n">
        <v>2</v>
      </c>
      <c r="C29" s="18" t="s">
        <v>152</v>
      </c>
      <c r="D29" s="18" t="n">
        <v>35</v>
      </c>
      <c r="E29" s="19" t="n">
        <v>5000000</v>
      </c>
      <c r="F29" s="18" t="s">
        <v>142</v>
      </c>
      <c r="G29" s="18" t="s">
        <v>143</v>
      </c>
      <c r="H29" s="18" t="str">
        <f aca="false">IF(OR(G29="Accept",G29="Reject"),"Yes","No")</f>
        <v>No</v>
      </c>
      <c r="I29" s="18" t="s">
        <v>114</v>
      </c>
      <c r="J29" s="18"/>
      <c r="K29" s="18"/>
      <c r="L29" s="18"/>
      <c r="M29" s="18"/>
    </row>
    <row r="30" customFormat="false" ht="15" hidden="false" customHeight="false" outlineLevel="0" collapsed="false">
      <c r="A30" s="18" t="n">
        <v>3</v>
      </c>
      <c r="B30" s="18" t="n">
        <v>3</v>
      </c>
      <c r="C30" s="18" t="s">
        <v>153</v>
      </c>
      <c r="D30" s="18" t="n">
        <v>26</v>
      </c>
      <c r="E30" s="19" t="n">
        <v>9400000</v>
      </c>
      <c r="F30" s="18" t="s">
        <v>113</v>
      </c>
      <c r="G30" s="18" t="s">
        <v>113</v>
      </c>
      <c r="H30" s="18" t="str">
        <f aca="false">IF(OR(G30="Accept",G30="Reject"),"Yes","No")</f>
        <v>Yes</v>
      </c>
      <c r="I30" s="18" t="s">
        <v>114</v>
      </c>
      <c r="J30" s="18"/>
      <c r="K30" s="18"/>
      <c r="L30" s="18"/>
      <c r="M30" s="18"/>
    </row>
    <row r="31" customFormat="false" ht="15" hidden="false" customHeight="false" outlineLevel="0" collapsed="false">
      <c r="A31" s="18" t="n">
        <v>3</v>
      </c>
      <c r="B31" s="18" t="n">
        <v>4</v>
      </c>
      <c r="C31" s="18" t="s">
        <v>154</v>
      </c>
      <c r="D31" s="18" t="n">
        <v>27</v>
      </c>
      <c r="E31" s="19" t="n">
        <v>7800000</v>
      </c>
      <c r="F31" s="18" t="s">
        <v>113</v>
      </c>
      <c r="G31" s="18" t="s">
        <v>113</v>
      </c>
      <c r="H31" s="18" t="str">
        <f aca="false">IF(OR(G31="Accept",G31="Reject"),"Yes","No")</f>
        <v>Yes</v>
      </c>
      <c r="I31" s="18" t="s">
        <v>114</v>
      </c>
      <c r="J31" s="18"/>
      <c r="K31" s="18"/>
      <c r="L31" s="18"/>
      <c r="M31" s="18"/>
    </row>
    <row r="32" customFormat="false" ht="15" hidden="false" customHeight="false" outlineLevel="0" collapsed="false">
      <c r="A32" s="18" t="n">
        <v>3</v>
      </c>
      <c r="B32" s="18" t="n">
        <v>5</v>
      </c>
      <c r="C32" s="18" t="s">
        <v>155</v>
      </c>
      <c r="D32" s="18" t="n">
        <v>28</v>
      </c>
      <c r="E32" s="19" t="n">
        <v>5670000</v>
      </c>
      <c r="F32" s="18" t="s">
        <v>113</v>
      </c>
      <c r="G32" s="18" t="s">
        <v>113</v>
      </c>
      <c r="H32" s="18" t="str">
        <f aca="false">IF(OR(G32="Accept",G32="Reject"),"Yes","No")</f>
        <v>Yes</v>
      </c>
      <c r="I32" s="18" t="s">
        <v>114</v>
      </c>
      <c r="J32" s="18"/>
      <c r="K32" s="18"/>
      <c r="L32" s="18"/>
      <c r="M32" s="18"/>
    </row>
    <row r="33" customFormat="false" ht="15" hidden="false" customHeight="false" outlineLevel="0" collapsed="false">
      <c r="A33" s="18" t="n">
        <v>3</v>
      </c>
      <c r="B33" s="18" t="n">
        <v>6</v>
      </c>
      <c r="C33" s="18" t="s">
        <v>156</v>
      </c>
      <c r="D33" s="18" t="n">
        <v>31</v>
      </c>
      <c r="E33" s="19" t="n">
        <v>4200000</v>
      </c>
      <c r="F33" s="18" t="s">
        <v>113</v>
      </c>
      <c r="G33" s="18" t="s">
        <v>113</v>
      </c>
      <c r="H33" s="18" t="str">
        <f aca="false">IF(OR(G33="Accept",G33="Reject"),"Yes","No")</f>
        <v>Yes</v>
      </c>
      <c r="I33" s="18" t="s">
        <v>114</v>
      </c>
      <c r="J33" s="18"/>
      <c r="K33" s="18"/>
      <c r="L33" s="18"/>
      <c r="M33" s="18"/>
    </row>
    <row r="34" customFormat="false" ht="15" hidden="false" customHeight="false" outlineLevel="0" collapsed="false">
      <c r="A34" s="18" t="n">
        <v>3</v>
      </c>
      <c r="B34" s="18" t="n">
        <v>7</v>
      </c>
      <c r="C34" s="18" t="s">
        <v>157</v>
      </c>
      <c r="D34" s="18" t="n">
        <v>34</v>
      </c>
      <c r="E34" s="19" t="n">
        <v>2800000</v>
      </c>
      <c r="F34" s="18" t="s">
        <v>113</v>
      </c>
      <c r="G34" s="18" t="s">
        <v>113</v>
      </c>
      <c r="H34" s="18" t="str">
        <f aca="false">IF(OR(G34="Accept",G34="Reject"),"Yes","No")</f>
        <v>Yes</v>
      </c>
      <c r="I34" s="18" t="s">
        <v>114</v>
      </c>
      <c r="J34" s="18"/>
      <c r="K34" s="18"/>
      <c r="L34" s="18"/>
      <c r="M34" s="18"/>
    </row>
    <row r="35" customFormat="false" ht="15" hidden="false" customHeight="false" outlineLevel="0" collapsed="false">
      <c r="A35" s="18" t="n">
        <v>3</v>
      </c>
      <c r="B35" s="18" t="n">
        <v>8</v>
      </c>
      <c r="C35" s="18" t="s">
        <v>158</v>
      </c>
      <c r="D35" s="18" t="n">
        <v>25</v>
      </c>
      <c r="E35" s="19" t="n">
        <v>14500000</v>
      </c>
      <c r="F35" s="18" t="s">
        <v>125</v>
      </c>
      <c r="G35" s="18" t="s">
        <v>125</v>
      </c>
      <c r="H35" s="18" t="str">
        <f aca="false">IF(OR(G35="Accept",G35="Reject"),"Yes","No")</f>
        <v>Yes</v>
      </c>
      <c r="I35" s="18" t="s">
        <v>114</v>
      </c>
      <c r="J35" s="18"/>
      <c r="K35" s="18"/>
      <c r="L35" s="18"/>
      <c r="M35" s="18"/>
    </row>
    <row r="36" customFormat="false" ht="28.35" hidden="false" customHeight="false" outlineLevel="0" collapsed="false">
      <c r="A36" s="18" t="n">
        <v>3</v>
      </c>
      <c r="B36" s="18" t="n">
        <v>9</v>
      </c>
      <c r="C36" s="18" t="s">
        <v>159</v>
      </c>
      <c r="D36" s="18" t="n">
        <v>29</v>
      </c>
      <c r="E36" s="19" t="n">
        <v>12100000</v>
      </c>
      <c r="F36" s="18" t="s">
        <v>125</v>
      </c>
      <c r="G36" s="18" t="s">
        <v>125</v>
      </c>
      <c r="H36" s="18" t="str">
        <f aca="false">IF(OR(G36="Accept",G36="Reject"),"Yes","No")</f>
        <v>Yes</v>
      </c>
      <c r="I36" s="18" t="s">
        <v>114</v>
      </c>
      <c r="J36" s="18"/>
      <c r="K36" s="18"/>
      <c r="L36" s="18"/>
      <c r="M36" s="18"/>
    </row>
    <row r="37" customFormat="false" ht="15" hidden="false" customHeight="false" outlineLevel="0" collapsed="false">
      <c r="A37" s="18" t="n">
        <v>3</v>
      </c>
      <c r="B37" s="18" t="n">
        <v>10</v>
      </c>
      <c r="C37" s="18" t="s">
        <v>160</v>
      </c>
      <c r="D37" s="18" t="n">
        <v>32</v>
      </c>
      <c r="E37" s="19" t="n">
        <v>10800000</v>
      </c>
      <c r="F37" s="18" t="s">
        <v>125</v>
      </c>
      <c r="G37" s="18" t="s">
        <v>125</v>
      </c>
      <c r="H37" s="18" t="str">
        <f aca="false">IF(OR(G37="Accept",G37="Reject"),"Yes","No")</f>
        <v>Yes</v>
      </c>
      <c r="I37" s="18" t="s">
        <v>114</v>
      </c>
      <c r="J37" s="18"/>
      <c r="K37" s="18"/>
      <c r="L37" s="18"/>
      <c r="M37" s="18"/>
    </row>
    <row r="38" customFormat="false" ht="15" hidden="false" customHeight="false" outlineLevel="0" collapsed="false">
      <c r="A38" s="18" t="n">
        <v>3</v>
      </c>
      <c r="B38" s="18" t="n">
        <v>11</v>
      </c>
      <c r="C38" s="18" t="s">
        <v>161</v>
      </c>
      <c r="D38" s="18" t="n">
        <v>33</v>
      </c>
      <c r="E38" s="19" t="n">
        <v>9230000</v>
      </c>
      <c r="F38" s="18" t="s">
        <v>125</v>
      </c>
      <c r="G38" s="18" t="s">
        <v>125</v>
      </c>
      <c r="H38" s="18" t="str">
        <f aca="false">IF(OR(G38="Accept",G38="Reject"),"Yes","No")</f>
        <v>Yes</v>
      </c>
      <c r="I38" s="18" t="s">
        <v>114</v>
      </c>
      <c r="J38" s="18"/>
      <c r="K38" s="18"/>
      <c r="L38" s="18"/>
      <c r="M38" s="18"/>
    </row>
    <row r="39" customFormat="false" ht="15" hidden="false" customHeight="false" outlineLevel="0" collapsed="false">
      <c r="A39" s="18" t="n">
        <v>3</v>
      </c>
      <c r="B39" s="18" t="n">
        <v>12</v>
      </c>
      <c r="C39" s="18" t="s">
        <v>162</v>
      </c>
      <c r="D39" s="18" t="n">
        <v>36</v>
      </c>
      <c r="E39" s="19" t="n">
        <v>7500000</v>
      </c>
      <c r="F39" s="18" t="s">
        <v>125</v>
      </c>
      <c r="G39" s="18" t="s">
        <v>125</v>
      </c>
      <c r="H39" s="18" t="str">
        <f aca="false">IF(OR(G39="Accept",G39="Reject"),"Yes","No")</f>
        <v>Yes</v>
      </c>
      <c r="I39" s="18" t="s">
        <v>114</v>
      </c>
      <c r="J39" s="18"/>
      <c r="K39" s="18"/>
      <c r="L39" s="18"/>
      <c r="M39" s="18"/>
    </row>
    <row r="40" customFormat="false" ht="15" hidden="false" customHeight="false" outlineLevel="0" collapsed="false">
      <c r="A40" s="18" t="n">
        <v>3</v>
      </c>
      <c r="B40" s="18" t="n">
        <v>13</v>
      </c>
      <c r="C40" s="18" t="s">
        <v>163</v>
      </c>
      <c r="D40" s="18" t="n">
        <v>37</v>
      </c>
      <c r="E40" s="19" t="n">
        <v>5100000</v>
      </c>
      <c r="F40" s="18" t="s">
        <v>125</v>
      </c>
      <c r="G40" s="18" t="s">
        <v>125</v>
      </c>
      <c r="H40" s="18" t="str">
        <f aca="false">IF(OR(G40="Accept",G40="Reject"),"Yes","No")</f>
        <v>Yes</v>
      </c>
      <c r="I40" s="18" t="s">
        <v>114</v>
      </c>
      <c r="J40" s="18"/>
      <c r="K40" s="18"/>
      <c r="L40" s="18"/>
      <c r="M40" s="18"/>
    </row>
    <row r="41" customFormat="false" ht="15" hidden="false" customHeight="false" outlineLevel="0" collapsed="false">
      <c r="A41" s="18" t="n">
        <v>3</v>
      </c>
      <c r="B41" s="18" t="n">
        <v>14</v>
      </c>
      <c r="C41" s="18" t="s">
        <v>164</v>
      </c>
      <c r="D41" s="18" t="n">
        <v>38</v>
      </c>
      <c r="E41" s="19" t="n">
        <v>3200000</v>
      </c>
      <c r="F41" s="18" t="s">
        <v>125</v>
      </c>
      <c r="G41" s="18" t="s">
        <v>125</v>
      </c>
      <c r="H41" s="18" t="str">
        <f aca="false">IF(OR(G41="Accept",G41="Reject"),"Yes","No")</f>
        <v>Yes</v>
      </c>
      <c r="I41" s="18" t="s">
        <v>114</v>
      </c>
      <c r="J41" s="18"/>
      <c r="K41" s="18"/>
      <c r="L41" s="18"/>
      <c r="M41" s="18"/>
    </row>
    <row r="42" customFormat="false" ht="15" hidden="false" customHeight="false" outlineLevel="0" collapsed="false">
      <c r="A42" s="18" t="n">
        <v>4</v>
      </c>
      <c r="B42" s="18" t="n">
        <v>1</v>
      </c>
      <c r="C42" s="18" t="s">
        <v>165</v>
      </c>
      <c r="D42" s="18" t="n">
        <v>101</v>
      </c>
      <c r="E42" s="19" t="n">
        <v>487000</v>
      </c>
      <c r="F42" s="18" t="s">
        <v>113</v>
      </c>
      <c r="G42" s="18" t="s">
        <v>113</v>
      </c>
      <c r="H42" s="18" t="str">
        <f aca="false">IF(OR(G42="Accept",G42="Reject"),"Yes","No")</f>
        <v>Yes</v>
      </c>
      <c r="I42" s="18" t="s">
        <v>114</v>
      </c>
      <c r="J42" s="18"/>
      <c r="K42" s="18"/>
      <c r="L42" s="18"/>
      <c r="M42" s="18" t="s">
        <v>166</v>
      </c>
    </row>
    <row r="43" customFormat="false" ht="15" hidden="false" customHeight="false" outlineLevel="0" collapsed="false">
      <c r="A43" s="18" t="n">
        <v>4</v>
      </c>
      <c r="B43" s="18" t="n">
        <v>2</v>
      </c>
      <c r="C43" s="18" t="s">
        <v>167</v>
      </c>
      <c r="D43" s="18" t="n">
        <v>105</v>
      </c>
      <c r="E43" s="19" t="n">
        <v>623000</v>
      </c>
      <c r="F43" s="18" t="s">
        <v>113</v>
      </c>
      <c r="G43" s="18" t="s">
        <v>113</v>
      </c>
      <c r="H43" s="18" t="str">
        <f aca="false">IF(OR(G43="Accept",G43="Reject"),"Yes","No")</f>
        <v>Yes</v>
      </c>
      <c r="I43" s="18" t="s">
        <v>114</v>
      </c>
      <c r="J43" s="18"/>
      <c r="K43" s="18"/>
      <c r="L43" s="18"/>
      <c r="M43" s="18" t="s">
        <v>166</v>
      </c>
    </row>
    <row r="44" customFormat="false" ht="15" hidden="false" customHeight="false" outlineLevel="0" collapsed="false">
      <c r="A44" s="18" t="n">
        <v>4</v>
      </c>
      <c r="B44" s="18" t="n">
        <v>3</v>
      </c>
      <c r="C44" s="18" t="s">
        <v>168</v>
      </c>
      <c r="D44" s="18" t="n">
        <v>112</v>
      </c>
      <c r="E44" s="19" t="n">
        <v>544000</v>
      </c>
      <c r="F44" s="18" t="s">
        <v>125</v>
      </c>
      <c r="G44" s="18" t="s">
        <v>125</v>
      </c>
      <c r="H44" s="18" t="str">
        <f aca="false">IF(OR(G44="Accept",G44="Reject"),"Yes","No")</f>
        <v>Yes</v>
      </c>
      <c r="I44" s="18" t="s">
        <v>114</v>
      </c>
      <c r="J44" s="18"/>
      <c r="K44" s="18"/>
      <c r="L44" s="18"/>
      <c r="M44" s="18" t="s">
        <v>166</v>
      </c>
    </row>
    <row r="45" customFormat="false" ht="41.75" hidden="false" customHeight="false" outlineLevel="0" collapsed="false">
      <c r="A45" s="18" t="n">
        <v>4</v>
      </c>
      <c r="B45" s="18" t="n">
        <v>4</v>
      </c>
      <c r="C45" s="18" t="s">
        <v>169</v>
      </c>
      <c r="D45" s="18" t="n">
        <v>203</v>
      </c>
      <c r="E45" s="19" t="n">
        <v>520000</v>
      </c>
      <c r="F45" s="18" t="s">
        <v>113</v>
      </c>
      <c r="G45" s="18" t="s">
        <v>113</v>
      </c>
      <c r="H45" s="18" t="str">
        <f aca="false">IF(OR(G45="Accept",G45="Reject"),"Yes","No")</f>
        <v>Yes</v>
      </c>
      <c r="I45" s="18" t="s">
        <v>170</v>
      </c>
      <c r="J45" s="18" t="s">
        <v>171</v>
      </c>
      <c r="K45" s="18" t="s">
        <v>172</v>
      </c>
      <c r="L45" s="18" t="s">
        <v>173</v>
      </c>
      <c r="M45" s="18" t="s">
        <v>174</v>
      </c>
    </row>
    <row r="46" customFormat="false" ht="15" hidden="false" customHeight="false" outlineLevel="0" collapsed="false">
      <c r="A46" s="18" t="n">
        <v>4</v>
      </c>
      <c r="B46" s="18" t="n">
        <v>5</v>
      </c>
      <c r="C46" s="18" t="s">
        <v>175</v>
      </c>
      <c r="D46" s="18" t="n">
        <v>178</v>
      </c>
      <c r="E46" s="19" t="n">
        <v>480000</v>
      </c>
      <c r="F46" s="18" t="s">
        <v>113</v>
      </c>
      <c r="G46" s="18" t="s">
        <v>113</v>
      </c>
      <c r="H46" s="18" t="str">
        <f aca="false">IF(OR(G46="Accept",G46="Reject"),"Yes","No")</f>
        <v>Yes</v>
      </c>
      <c r="I46" s="18" t="s">
        <v>170</v>
      </c>
      <c r="J46" s="18" t="s">
        <v>176</v>
      </c>
      <c r="K46" s="18" t="s">
        <v>172</v>
      </c>
      <c r="L46" s="18" t="s">
        <v>177</v>
      </c>
      <c r="M46" s="18" t="s">
        <v>178</v>
      </c>
    </row>
    <row r="47" customFormat="false" ht="15" hidden="false" customHeight="false" outlineLevel="0" collapsed="false">
      <c r="A47" s="18" t="n">
        <v>4</v>
      </c>
      <c r="B47" s="18" t="n">
        <v>6</v>
      </c>
      <c r="C47" s="18" t="s">
        <v>179</v>
      </c>
      <c r="D47" s="18" t="n">
        <v>256</v>
      </c>
      <c r="E47" s="19" t="n">
        <v>410000</v>
      </c>
      <c r="F47" s="18" t="s">
        <v>113</v>
      </c>
      <c r="G47" s="18" t="s">
        <v>113</v>
      </c>
      <c r="H47" s="18" t="str">
        <f aca="false">IF(OR(G47="Accept",G47="Reject"),"Yes","No")</f>
        <v>Yes</v>
      </c>
      <c r="I47" s="18" t="s">
        <v>170</v>
      </c>
      <c r="J47" s="18" t="s">
        <v>180</v>
      </c>
      <c r="K47" s="18" t="s">
        <v>181</v>
      </c>
      <c r="L47" s="18" t="s">
        <v>177</v>
      </c>
      <c r="M47" s="18" t="s">
        <v>178</v>
      </c>
    </row>
    <row r="48" customFormat="false" ht="15" hidden="false" customHeight="false" outlineLevel="0" collapsed="false">
      <c r="A48" s="18" t="n">
        <v>4</v>
      </c>
      <c r="B48" s="18" t="n">
        <v>7</v>
      </c>
      <c r="C48" s="18" t="s">
        <v>182</v>
      </c>
      <c r="D48" s="18" t="n">
        <v>289</v>
      </c>
      <c r="E48" s="19" t="n">
        <v>330000</v>
      </c>
      <c r="F48" s="18" t="s">
        <v>113</v>
      </c>
      <c r="G48" s="18" t="s">
        <v>113</v>
      </c>
      <c r="H48" s="18" t="str">
        <f aca="false">IF(OR(G48="Accept",G48="Reject"),"Yes","No")</f>
        <v>Yes</v>
      </c>
      <c r="I48" s="18" t="s">
        <v>170</v>
      </c>
      <c r="J48" s="18" t="s">
        <v>183</v>
      </c>
      <c r="K48" s="18" t="s">
        <v>181</v>
      </c>
      <c r="L48" s="18" t="s">
        <v>177</v>
      </c>
      <c r="M48" s="18" t="s">
        <v>178</v>
      </c>
    </row>
    <row r="49" customFormat="false" ht="15" hidden="false" customHeight="false" outlineLevel="0" collapsed="false">
      <c r="A49" s="18" t="n">
        <v>4</v>
      </c>
      <c r="B49" s="18" t="n">
        <v>8</v>
      </c>
      <c r="C49" s="18" t="s">
        <v>184</v>
      </c>
      <c r="D49" s="18" t="n">
        <v>195</v>
      </c>
      <c r="E49" s="19" t="n">
        <v>380000</v>
      </c>
      <c r="F49" s="18" t="s">
        <v>125</v>
      </c>
      <c r="G49" s="18" t="s">
        <v>125</v>
      </c>
      <c r="H49" s="18" t="str">
        <f aca="false">IF(OR(G49="Accept",G49="Reject"),"Yes","No")</f>
        <v>Yes</v>
      </c>
      <c r="I49" s="18" t="s">
        <v>170</v>
      </c>
      <c r="J49" s="18" t="s">
        <v>185</v>
      </c>
      <c r="K49" s="18" t="s">
        <v>172</v>
      </c>
      <c r="L49" s="18" t="s">
        <v>177</v>
      </c>
      <c r="M49" s="18" t="s">
        <v>178</v>
      </c>
    </row>
    <row r="50" customFormat="false" ht="15" hidden="false" customHeight="false" outlineLevel="0" collapsed="false">
      <c r="A50" s="18" t="n">
        <v>4</v>
      </c>
      <c r="B50" s="18" t="n">
        <v>9</v>
      </c>
      <c r="C50" s="18" t="s">
        <v>186</v>
      </c>
      <c r="D50" s="18" t="n">
        <v>221</v>
      </c>
      <c r="E50" s="19" t="n">
        <v>290000</v>
      </c>
      <c r="F50" s="18" t="s">
        <v>125</v>
      </c>
      <c r="G50" s="18" t="s">
        <v>125</v>
      </c>
      <c r="H50" s="18" t="str">
        <f aca="false">IF(OR(G50="Accept",G50="Reject"),"Yes","No")</f>
        <v>Yes</v>
      </c>
      <c r="I50" s="18" t="s">
        <v>170</v>
      </c>
      <c r="J50" s="18" t="s">
        <v>187</v>
      </c>
      <c r="K50" s="18" t="s">
        <v>181</v>
      </c>
      <c r="L50" s="18" t="s">
        <v>177</v>
      </c>
      <c r="M50" s="18" t="s">
        <v>178</v>
      </c>
    </row>
    <row r="51" customFormat="false" ht="15" hidden="false" customHeight="false" outlineLevel="0" collapsed="false">
      <c r="A51" s="18" t="n">
        <v>4</v>
      </c>
      <c r="B51" s="18" t="n">
        <v>10</v>
      </c>
      <c r="C51" s="18" t="s">
        <v>188</v>
      </c>
      <c r="D51" s="18" t="n">
        <v>267</v>
      </c>
      <c r="E51" s="19" t="n">
        <v>220000</v>
      </c>
      <c r="F51" s="18" t="s">
        <v>125</v>
      </c>
      <c r="G51" s="18" t="s">
        <v>125</v>
      </c>
      <c r="H51" s="18" t="str">
        <f aca="false">IF(OR(G51="Accept",G51="Reject"),"Yes","No")</f>
        <v>Yes</v>
      </c>
      <c r="I51" s="18" t="s">
        <v>170</v>
      </c>
      <c r="J51" s="18" t="s">
        <v>189</v>
      </c>
      <c r="K51" s="18" t="s">
        <v>181</v>
      </c>
      <c r="L51" s="18" t="s">
        <v>177</v>
      </c>
      <c r="M51" s="18" t="s">
        <v>178</v>
      </c>
    </row>
    <row r="52" customFormat="false" ht="28.35" hidden="false" customHeight="false" outlineLevel="0" collapsed="false">
      <c r="A52" s="18" t="n">
        <v>4</v>
      </c>
      <c r="B52" s="18" t="n">
        <v>11</v>
      </c>
      <c r="C52" s="18" t="s">
        <v>190</v>
      </c>
      <c r="D52" s="18" t="n">
        <v>147</v>
      </c>
      <c r="E52" s="19" t="n">
        <v>412000</v>
      </c>
      <c r="F52" s="18" t="s">
        <v>191</v>
      </c>
      <c r="G52" s="18" t="s">
        <v>192</v>
      </c>
      <c r="H52" s="18" t="str">
        <f aca="false">IF(OR(G52="Accept",G52="Reject"),"Yes","No")</f>
        <v>No</v>
      </c>
      <c r="I52" s="18" t="s">
        <v>114</v>
      </c>
      <c r="J52" s="18"/>
      <c r="K52" s="18"/>
      <c r="L52" s="18" t="s">
        <v>193</v>
      </c>
      <c r="M52" s="18" t="s">
        <v>194</v>
      </c>
    </row>
    <row r="53" customFormat="false" ht="15" hidden="false" customHeight="false" outlineLevel="0" collapsed="false">
      <c r="A53" s="18" t="n">
        <v>4</v>
      </c>
      <c r="B53" s="18" t="n">
        <v>12</v>
      </c>
      <c r="C53" s="18" t="s">
        <v>195</v>
      </c>
      <c r="D53" s="18" t="n">
        <v>102</v>
      </c>
      <c r="E53" s="19" t="n">
        <v>310000</v>
      </c>
      <c r="F53" s="18" t="s">
        <v>113</v>
      </c>
      <c r="G53" s="18" t="s">
        <v>113</v>
      </c>
      <c r="H53" s="18" t="str">
        <f aca="false">IF(OR(G53="Accept",G53="Reject"),"Yes","No")</f>
        <v>Yes</v>
      </c>
      <c r="I53" s="18" t="s">
        <v>114</v>
      </c>
      <c r="J53" s="18"/>
      <c r="K53" s="18"/>
      <c r="L53" s="18"/>
      <c r="M53" s="18"/>
    </row>
    <row r="54" customFormat="false" ht="15" hidden="false" customHeight="false" outlineLevel="0" collapsed="false">
      <c r="A54" s="18" t="n">
        <v>4</v>
      </c>
      <c r="B54" s="18" t="n">
        <v>13</v>
      </c>
      <c r="C54" s="18" t="s">
        <v>196</v>
      </c>
      <c r="D54" s="18" t="n">
        <v>104</v>
      </c>
      <c r="E54" s="19" t="n">
        <v>275000</v>
      </c>
      <c r="F54" s="18" t="s">
        <v>113</v>
      </c>
      <c r="G54" s="18" t="s">
        <v>113</v>
      </c>
      <c r="H54" s="18" t="str">
        <f aca="false">IF(OR(G54="Accept",G54="Reject"),"Yes","No")</f>
        <v>Yes</v>
      </c>
      <c r="I54" s="18" t="s">
        <v>114</v>
      </c>
      <c r="J54" s="18"/>
      <c r="K54" s="18"/>
      <c r="L54" s="18"/>
      <c r="M54" s="18"/>
    </row>
    <row r="55" customFormat="false" ht="15" hidden="false" customHeight="false" outlineLevel="0" collapsed="false">
      <c r="A55" s="18" t="n">
        <v>4</v>
      </c>
      <c r="B55" s="18" t="n">
        <v>14</v>
      </c>
      <c r="C55" s="18" t="s">
        <v>197</v>
      </c>
      <c r="D55" s="18" t="n">
        <v>106</v>
      </c>
      <c r="E55" s="19" t="n">
        <v>192000</v>
      </c>
      <c r="F55" s="18" t="s">
        <v>113</v>
      </c>
      <c r="G55" s="18" t="s">
        <v>113</v>
      </c>
      <c r="H55" s="18" t="str">
        <f aca="false">IF(OR(G55="Accept",G55="Reject"),"Yes","No")</f>
        <v>Yes</v>
      </c>
      <c r="I55" s="18" t="s">
        <v>114</v>
      </c>
      <c r="J55" s="18"/>
      <c r="K55" s="18"/>
      <c r="L55" s="18"/>
      <c r="M55" s="18"/>
    </row>
    <row r="56" customFormat="false" ht="15" hidden="false" customHeight="false" outlineLevel="0" collapsed="false">
      <c r="A56" s="18" t="n">
        <v>4</v>
      </c>
      <c r="B56" s="18" t="n">
        <v>15</v>
      </c>
      <c r="C56" s="18" t="s">
        <v>198</v>
      </c>
      <c r="D56" s="18" t="n">
        <v>108</v>
      </c>
      <c r="E56" s="19" t="n">
        <v>168000</v>
      </c>
      <c r="F56" s="18" t="s">
        <v>113</v>
      </c>
      <c r="G56" s="18" t="s">
        <v>113</v>
      </c>
      <c r="H56" s="18" t="str">
        <f aca="false">IF(OR(G56="Accept",G56="Reject"),"Yes","No")</f>
        <v>Yes</v>
      </c>
      <c r="I56" s="18" t="s">
        <v>114</v>
      </c>
      <c r="J56" s="18"/>
      <c r="K56" s="18"/>
      <c r="L56" s="18"/>
      <c r="M56" s="18"/>
    </row>
    <row r="57" customFormat="false" ht="15" hidden="false" customHeight="false" outlineLevel="0" collapsed="false">
      <c r="A57" s="18" t="n">
        <v>4</v>
      </c>
      <c r="B57" s="18" t="n">
        <v>16</v>
      </c>
      <c r="C57" s="18" t="s">
        <v>199</v>
      </c>
      <c r="D57" s="18" t="n">
        <v>110</v>
      </c>
      <c r="E57" s="19" t="n">
        <v>145000</v>
      </c>
      <c r="F57" s="18" t="s">
        <v>113</v>
      </c>
      <c r="G57" s="18" t="s">
        <v>113</v>
      </c>
      <c r="H57" s="18" t="str">
        <f aca="false">IF(OR(G57="Accept",G57="Reject"),"Yes","No")</f>
        <v>Yes</v>
      </c>
      <c r="I57" s="18" t="s">
        <v>114</v>
      </c>
      <c r="J57" s="18"/>
      <c r="K57" s="18"/>
      <c r="L57" s="18"/>
      <c r="M57" s="18"/>
    </row>
    <row r="58" customFormat="false" ht="15" hidden="false" customHeight="false" outlineLevel="0" collapsed="false">
      <c r="A58" s="18" t="n">
        <v>4</v>
      </c>
      <c r="B58" s="18" t="n">
        <v>17</v>
      </c>
      <c r="C58" s="18" t="s">
        <v>200</v>
      </c>
      <c r="D58" s="18" t="n">
        <v>113</v>
      </c>
      <c r="E58" s="19" t="n">
        <v>134000</v>
      </c>
      <c r="F58" s="18" t="s">
        <v>113</v>
      </c>
      <c r="G58" s="18" t="s">
        <v>113</v>
      </c>
      <c r="H58" s="18" t="str">
        <f aca="false">IF(OR(G58="Accept",G58="Reject"),"Yes","No")</f>
        <v>Yes</v>
      </c>
      <c r="I58" s="18" t="s">
        <v>114</v>
      </c>
      <c r="J58" s="18"/>
      <c r="K58" s="18"/>
      <c r="L58" s="18"/>
      <c r="M58" s="18"/>
    </row>
    <row r="59" customFormat="false" ht="15" hidden="false" customHeight="false" outlineLevel="0" collapsed="false">
      <c r="A59" s="18" t="n">
        <v>4</v>
      </c>
      <c r="B59" s="18" t="n">
        <v>18</v>
      </c>
      <c r="C59" s="18" t="s">
        <v>201</v>
      </c>
      <c r="D59" s="18" t="n">
        <v>115</v>
      </c>
      <c r="E59" s="19" t="n">
        <v>127000</v>
      </c>
      <c r="F59" s="18" t="s">
        <v>125</v>
      </c>
      <c r="G59" s="18" t="s">
        <v>125</v>
      </c>
      <c r="H59" s="18" t="str">
        <f aca="false">IF(OR(G59="Accept",G59="Reject"),"Yes","No")</f>
        <v>Yes</v>
      </c>
      <c r="I59" s="18" t="s">
        <v>114</v>
      </c>
      <c r="J59" s="18"/>
      <c r="K59" s="18"/>
      <c r="L59" s="18"/>
      <c r="M59" s="18"/>
    </row>
    <row r="60" customFormat="false" ht="15" hidden="false" customHeight="false" outlineLevel="0" collapsed="false">
      <c r="A60" s="18" t="n">
        <v>4</v>
      </c>
      <c r="B60" s="18" t="n">
        <v>19</v>
      </c>
      <c r="C60" s="18" t="s">
        <v>202</v>
      </c>
      <c r="D60" s="18" t="n">
        <v>117</v>
      </c>
      <c r="E60" s="19" t="n">
        <v>118000</v>
      </c>
      <c r="F60" s="18" t="s">
        <v>113</v>
      </c>
      <c r="G60" s="18" t="s">
        <v>113</v>
      </c>
      <c r="H60" s="18" t="str">
        <f aca="false">IF(OR(G60="Accept",G60="Reject"),"Yes","No")</f>
        <v>Yes</v>
      </c>
      <c r="I60" s="18" t="s">
        <v>114</v>
      </c>
      <c r="J60" s="18"/>
      <c r="K60" s="18"/>
      <c r="L60" s="18"/>
      <c r="M60" s="18"/>
    </row>
    <row r="61" customFormat="false" ht="15" hidden="false" customHeight="false" outlineLevel="0" collapsed="false">
      <c r="A61" s="18" t="n">
        <v>4</v>
      </c>
      <c r="B61" s="18" t="n">
        <v>20</v>
      </c>
      <c r="C61" s="18" t="s">
        <v>203</v>
      </c>
      <c r="D61" s="18" t="n">
        <v>120</v>
      </c>
      <c r="E61" s="19" t="n">
        <v>205000</v>
      </c>
      <c r="F61" s="18" t="s">
        <v>113</v>
      </c>
      <c r="G61" s="18" t="s">
        <v>113</v>
      </c>
      <c r="H61" s="18" t="str">
        <f aca="false">IF(OR(G61="Accept",G61="Reject"),"Yes","No")</f>
        <v>Yes</v>
      </c>
      <c r="I61" s="18" t="s">
        <v>114</v>
      </c>
      <c r="J61" s="18"/>
      <c r="K61" s="18"/>
      <c r="L61" s="18"/>
      <c r="M61" s="18"/>
    </row>
    <row r="62" customFormat="false" ht="15" hidden="false" customHeight="false" outlineLevel="0" collapsed="false">
      <c r="A62" s="18" t="n">
        <v>4</v>
      </c>
      <c r="B62" s="18" t="n">
        <v>21</v>
      </c>
      <c r="C62" s="18" t="s">
        <v>204</v>
      </c>
      <c r="D62" s="18" t="n">
        <v>122</v>
      </c>
      <c r="E62" s="19" t="n">
        <v>96000</v>
      </c>
      <c r="F62" s="18" t="s">
        <v>113</v>
      </c>
      <c r="G62" s="18" t="s">
        <v>113</v>
      </c>
      <c r="H62" s="18" t="str">
        <f aca="false">IF(OR(G62="Accept",G62="Reject"),"Yes","No")</f>
        <v>Yes</v>
      </c>
      <c r="I62" s="18" t="s">
        <v>114</v>
      </c>
      <c r="J62" s="18"/>
      <c r="K62" s="18"/>
      <c r="L62" s="18"/>
      <c r="M62" s="18"/>
    </row>
    <row r="63" customFormat="false" ht="15" hidden="false" customHeight="false" outlineLevel="0" collapsed="false">
      <c r="A63" s="18" t="n">
        <v>4</v>
      </c>
      <c r="B63" s="18" t="n">
        <v>22</v>
      </c>
      <c r="C63" s="18" t="s">
        <v>205</v>
      </c>
      <c r="D63" s="18" t="n">
        <v>125</v>
      </c>
      <c r="E63" s="19" t="n">
        <v>88000</v>
      </c>
      <c r="F63" s="18" t="s">
        <v>125</v>
      </c>
      <c r="G63" s="18" t="s">
        <v>125</v>
      </c>
      <c r="H63" s="18" t="str">
        <f aca="false">IF(OR(G63="Accept",G63="Reject"),"Yes","No")</f>
        <v>Yes</v>
      </c>
      <c r="I63" s="18" t="s">
        <v>114</v>
      </c>
      <c r="J63" s="18"/>
      <c r="K63" s="18"/>
      <c r="L63" s="18"/>
      <c r="M63" s="18"/>
    </row>
    <row r="64" customFormat="false" ht="15" hidden="false" customHeight="false" outlineLevel="0" collapsed="false">
      <c r="A64" s="18" t="n">
        <v>4</v>
      </c>
      <c r="B64" s="18" t="n">
        <v>23</v>
      </c>
      <c r="C64" s="18" t="s">
        <v>206</v>
      </c>
      <c r="D64" s="18" t="n">
        <v>128</v>
      </c>
      <c r="E64" s="19" t="n">
        <v>74000</v>
      </c>
      <c r="F64" s="18" t="s">
        <v>113</v>
      </c>
      <c r="G64" s="18" t="s">
        <v>113</v>
      </c>
      <c r="H64" s="18" t="str">
        <f aca="false">IF(OR(G64="Accept",G64="Reject"),"Yes","No")</f>
        <v>Yes</v>
      </c>
      <c r="I64" s="18" t="s">
        <v>114</v>
      </c>
      <c r="J64" s="18"/>
      <c r="K64" s="18"/>
      <c r="L64" s="18"/>
      <c r="M64" s="18"/>
    </row>
    <row r="65" customFormat="false" ht="15" hidden="false" customHeight="false" outlineLevel="0" collapsed="false">
      <c r="A65" s="18" t="n">
        <v>4</v>
      </c>
      <c r="B65" s="18" t="n">
        <v>24</v>
      </c>
      <c r="C65" s="18" t="s">
        <v>207</v>
      </c>
      <c r="D65" s="18" t="n">
        <v>131</v>
      </c>
      <c r="E65" s="19" t="n">
        <v>263000</v>
      </c>
      <c r="F65" s="18" t="s">
        <v>113</v>
      </c>
      <c r="G65" s="18" t="s">
        <v>113</v>
      </c>
      <c r="H65" s="18" t="str">
        <f aca="false">IF(OR(G65="Accept",G65="Reject"),"Yes","No")</f>
        <v>Yes</v>
      </c>
      <c r="I65" s="18" t="s">
        <v>114</v>
      </c>
      <c r="J65" s="18"/>
      <c r="K65" s="18"/>
      <c r="L65" s="18"/>
      <c r="M65" s="18"/>
    </row>
    <row r="66" customFormat="false" ht="15" hidden="false" customHeight="false" outlineLevel="0" collapsed="false">
      <c r="A66" s="18" t="n">
        <v>4</v>
      </c>
      <c r="B66" s="18" t="n">
        <v>25</v>
      </c>
      <c r="C66" s="18" t="s">
        <v>208</v>
      </c>
      <c r="D66" s="18" t="n">
        <v>135</v>
      </c>
      <c r="E66" s="19" t="n">
        <v>156000</v>
      </c>
      <c r="F66" s="18" t="s">
        <v>113</v>
      </c>
      <c r="G66" s="18" t="s">
        <v>113</v>
      </c>
      <c r="H66" s="18" t="str">
        <f aca="false">IF(OR(G66="Accept",G66="Reject"),"Yes","No")</f>
        <v>Yes</v>
      </c>
      <c r="I66" s="18" t="s">
        <v>114</v>
      </c>
      <c r="J66" s="18"/>
      <c r="K66" s="18"/>
      <c r="L66" s="18"/>
      <c r="M66" s="18"/>
    </row>
    <row r="67" customFormat="false" ht="15" hidden="false" customHeight="false" outlineLevel="0" collapsed="false">
      <c r="A67" s="18" t="n">
        <v>4</v>
      </c>
      <c r="B67" s="18" t="n">
        <v>26</v>
      </c>
      <c r="C67" s="18" t="s">
        <v>209</v>
      </c>
      <c r="D67" s="18" t="n">
        <v>138</v>
      </c>
      <c r="E67" s="19" t="n">
        <v>142000</v>
      </c>
      <c r="F67" s="18" t="s">
        <v>125</v>
      </c>
      <c r="G67" s="18" t="s">
        <v>125</v>
      </c>
      <c r="H67" s="18" t="str">
        <f aca="false">IF(OR(G67="Accept",G67="Reject"),"Yes","No")</f>
        <v>Yes</v>
      </c>
      <c r="I67" s="18" t="s">
        <v>114</v>
      </c>
      <c r="J67" s="18"/>
      <c r="K67" s="18"/>
      <c r="L67" s="18"/>
      <c r="M67" s="18"/>
    </row>
    <row r="68" customFormat="false" ht="15" hidden="false" customHeight="false" outlineLevel="0" collapsed="false">
      <c r="A68" s="18" t="n">
        <v>4</v>
      </c>
      <c r="B68" s="18" t="n">
        <v>27</v>
      </c>
      <c r="C68" s="18" t="s">
        <v>210</v>
      </c>
      <c r="D68" s="18" t="n">
        <v>141</v>
      </c>
      <c r="E68" s="19" t="n">
        <v>337000</v>
      </c>
      <c r="F68" s="18" t="s">
        <v>113</v>
      </c>
      <c r="G68" s="18" t="s">
        <v>113</v>
      </c>
      <c r="H68" s="18" t="str">
        <f aca="false">IF(OR(G68="Accept",G68="Reject"),"Yes","No")</f>
        <v>Yes</v>
      </c>
      <c r="I68" s="18" t="s">
        <v>114</v>
      </c>
      <c r="J68" s="18"/>
      <c r="K68" s="18"/>
      <c r="L68" s="18"/>
      <c r="M68" s="18"/>
    </row>
    <row r="69" customFormat="false" ht="15" hidden="false" customHeight="false" outlineLevel="0" collapsed="false">
      <c r="A69" s="18" t="n">
        <v>4</v>
      </c>
      <c r="B69" s="18" t="n">
        <v>28</v>
      </c>
      <c r="C69" s="18" t="s">
        <v>211</v>
      </c>
      <c r="D69" s="18" t="n">
        <v>144</v>
      </c>
      <c r="E69" s="19" t="n">
        <v>94000</v>
      </c>
      <c r="F69" s="18" t="s">
        <v>113</v>
      </c>
      <c r="G69" s="18" t="s">
        <v>113</v>
      </c>
      <c r="H69" s="18" t="str">
        <f aca="false">IF(OR(G69="Accept",G69="Reject"),"Yes","No")</f>
        <v>Yes</v>
      </c>
      <c r="I69" s="18" t="s">
        <v>114</v>
      </c>
      <c r="J69" s="18"/>
      <c r="K69" s="18"/>
      <c r="L69" s="18"/>
      <c r="M69" s="18"/>
    </row>
    <row r="70" customFormat="false" ht="28.35" hidden="false" customHeight="false" outlineLevel="0" collapsed="false">
      <c r="A70" s="18" t="n">
        <v>4</v>
      </c>
      <c r="B70" s="18" t="n">
        <v>29</v>
      </c>
      <c r="C70" s="18" t="s">
        <v>190</v>
      </c>
      <c r="D70" s="18" t="n">
        <v>147</v>
      </c>
      <c r="E70" s="19" t="n">
        <v>412000</v>
      </c>
      <c r="F70" s="18" t="s">
        <v>212</v>
      </c>
      <c r="G70" s="18" t="s">
        <v>125</v>
      </c>
      <c r="H70" s="18" t="str">
        <f aca="false">IF(OR(G70="Accept",G70="Reject"),"Yes","No")</f>
        <v>Yes</v>
      </c>
      <c r="I70" s="18" t="s">
        <v>114</v>
      </c>
      <c r="J70" s="18"/>
      <c r="K70" s="18"/>
      <c r="L70" s="18" t="s">
        <v>193</v>
      </c>
      <c r="M70" s="18" t="s">
        <v>213</v>
      </c>
    </row>
    <row r="71" customFormat="false" ht="15" hidden="false" customHeight="false" outlineLevel="0" collapsed="false">
      <c r="A71" s="18" t="n">
        <v>4</v>
      </c>
      <c r="B71" s="18" t="n">
        <v>30</v>
      </c>
      <c r="C71" s="18" t="s">
        <v>214</v>
      </c>
      <c r="D71" s="18" t="n">
        <v>150</v>
      </c>
      <c r="E71" s="19" t="n">
        <v>186000</v>
      </c>
      <c r="F71" s="18" t="s">
        <v>113</v>
      </c>
      <c r="G71" s="18" t="s">
        <v>113</v>
      </c>
      <c r="H71" s="18" t="str">
        <f aca="false">IF(OR(G71="Accept",G71="Reject"),"Yes","No")</f>
        <v>Yes</v>
      </c>
      <c r="I71" s="18" t="s">
        <v>114</v>
      </c>
      <c r="J71" s="18"/>
      <c r="K71" s="18"/>
      <c r="L71" s="18"/>
      <c r="M71" s="18"/>
    </row>
    <row r="72" customFormat="false" ht="15" hidden="false" customHeight="false" outlineLevel="0" collapsed="false">
      <c r="A72" s="18" t="n">
        <v>4</v>
      </c>
      <c r="B72" s="18" t="n">
        <v>31</v>
      </c>
      <c r="C72" s="18" t="s">
        <v>215</v>
      </c>
      <c r="D72" s="18" t="n">
        <v>153</v>
      </c>
      <c r="E72" s="19" t="n">
        <v>221000</v>
      </c>
      <c r="F72" s="18" t="s">
        <v>113</v>
      </c>
      <c r="G72" s="18" t="s">
        <v>113</v>
      </c>
      <c r="H72" s="18" t="str">
        <f aca="false">IF(OR(G72="Accept",G72="Reject"),"Yes","No")</f>
        <v>Yes</v>
      </c>
      <c r="I72" s="18" t="s">
        <v>114</v>
      </c>
      <c r="J72" s="18"/>
      <c r="K72" s="18"/>
      <c r="L72" s="18"/>
      <c r="M72" s="18"/>
    </row>
    <row r="73" customFormat="false" ht="15" hidden="false" customHeight="false" outlineLevel="0" collapsed="false">
      <c r="A73" s="18" t="n">
        <v>4</v>
      </c>
      <c r="B73" s="18" t="n">
        <v>32</v>
      </c>
      <c r="C73" s="18" t="s">
        <v>216</v>
      </c>
      <c r="D73" s="18" t="n">
        <v>156</v>
      </c>
      <c r="E73" s="19" t="n">
        <v>109000</v>
      </c>
      <c r="F73" s="18" t="s">
        <v>113</v>
      </c>
      <c r="G73" s="18" t="s">
        <v>113</v>
      </c>
      <c r="H73" s="18" t="str">
        <f aca="false">IF(OR(G73="Accept",G73="Reject"),"Yes","No")</f>
        <v>Yes</v>
      </c>
      <c r="I73" s="18" t="s">
        <v>114</v>
      </c>
      <c r="J73" s="18"/>
      <c r="K73" s="18"/>
      <c r="L73" s="18"/>
      <c r="M73" s="18"/>
    </row>
    <row r="74" customFormat="false" ht="15" hidden="false" customHeight="false" outlineLevel="0" collapsed="false">
      <c r="A74" s="18" t="n">
        <v>4</v>
      </c>
      <c r="B74" s="18" t="n">
        <v>33</v>
      </c>
      <c r="C74" s="18" t="s">
        <v>217</v>
      </c>
      <c r="D74" s="18" t="n">
        <v>159</v>
      </c>
      <c r="E74" s="19" t="n">
        <v>78000</v>
      </c>
      <c r="F74" s="18" t="s">
        <v>125</v>
      </c>
      <c r="G74" s="18" t="s">
        <v>125</v>
      </c>
      <c r="H74" s="18" t="str">
        <f aca="false">IF(OR(G74="Accept",G74="Reject"),"Yes","No")</f>
        <v>Yes</v>
      </c>
      <c r="I74" s="18" t="s">
        <v>114</v>
      </c>
      <c r="J74" s="18"/>
      <c r="K74" s="18"/>
      <c r="L74" s="18"/>
      <c r="M74" s="18"/>
    </row>
    <row r="75" customFormat="false" ht="15" hidden="false" customHeight="false" outlineLevel="0" collapsed="false">
      <c r="A75" s="18" t="n">
        <v>4</v>
      </c>
      <c r="B75" s="18" t="n">
        <v>34</v>
      </c>
      <c r="C75" s="18" t="s">
        <v>218</v>
      </c>
      <c r="D75" s="18" t="n">
        <v>162</v>
      </c>
      <c r="E75" s="19" t="n">
        <v>65000</v>
      </c>
      <c r="F75" s="18" t="s">
        <v>113</v>
      </c>
      <c r="G75" s="18" t="s">
        <v>113</v>
      </c>
      <c r="H75" s="18" t="str">
        <f aca="false">IF(OR(G75="Accept",G75="Reject"),"Yes","No")</f>
        <v>Yes</v>
      </c>
      <c r="I75" s="18" t="s">
        <v>114</v>
      </c>
      <c r="J75" s="18"/>
      <c r="K75" s="18"/>
      <c r="L75" s="18"/>
      <c r="M75" s="18"/>
    </row>
    <row r="76" customFormat="false" ht="15" hidden="false" customHeight="false" outlineLevel="0" collapsed="false">
      <c r="A76" s="18" t="n">
        <v>4</v>
      </c>
      <c r="B76" s="18" t="n">
        <v>35</v>
      </c>
      <c r="C76" s="18" t="s">
        <v>219</v>
      </c>
      <c r="D76" s="18" t="n">
        <v>165</v>
      </c>
      <c r="E76" s="19" t="n">
        <v>53000</v>
      </c>
      <c r="F76" s="18" t="s">
        <v>113</v>
      </c>
      <c r="G76" s="18" t="s">
        <v>113</v>
      </c>
      <c r="H76" s="18" t="str">
        <f aca="false">IF(OR(G76="Accept",G76="Reject"),"Yes","No")</f>
        <v>Yes</v>
      </c>
      <c r="I76" s="18" t="s">
        <v>114</v>
      </c>
      <c r="J76" s="18"/>
      <c r="K76" s="18"/>
      <c r="L76" s="18"/>
      <c r="M76" s="18"/>
    </row>
    <row r="77" customFormat="false" ht="15" hidden="false" customHeight="false" outlineLevel="0" collapsed="false">
      <c r="A77" s="18" t="n">
        <v>4</v>
      </c>
      <c r="B77" s="18" t="n">
        <v>36</v>
      </c>
      <c r="C77" s="18" t="s">
        <v>220</v>
      </c>
      <c r="D77" s="18" t="n">
        <v>168</v>
      </c>
      <c r="E77" s="19" t="n">
        <v>47000</v>
      </c>
      <c r="F77" s="18" t="s">
        <v>113</v>
      </c>
      <c r="G77" s="18" t="s">
        <v>113</v>
      </c>
      <c r="H77" s="18" t="str">
        <f aca="false">IF(OR(G77="Accept",G77="Reject"),"Yes","No")</f>
        <v>Yes</v>
      </c>
      <c r="I77" s="18" t="s">
        <v>114</v>
      </c>
      <c r="J77" s="18"/>
      <c r="K77" s="18"/>
      <c r="L77" s="18"/>
      <c r="M77" s="18"/>
    </row>
    <row r="78" customFormat="false" ht="15" hidden="false" customHeight="false" outlineLevel="0" collapsed="false">
      <c r="A78" s="18" t="n">
        <v>4</v>
      </c>
      <c r="B78" s="18" t="n">
        <v>37</v>
      </c>
      <c r="C78" s="18" t="s">
        <v>221</v>
      </c>
      <c r="D78" s="18" t="n">
        <v>171</v>
      </c>
      <c r="E78" s="19" t="n">
        <v>84000</v>
      </c>
      <c r="F78" s="18" t="s">
        <v>125</v>
      </c>
      <c r="G78" s="18" t="s">
        <v>125</v>
      </c>
      <c r="H78" s="18" t="str">
        <f aca="false">IF(OR(G78="Accept",G78="Reject"),"Yes","No")</f>
        <v>Yes</v>
      </c>
      <c r="I78" s="18" t="s">
        <v>114</v>
      </c>
      <c r="J78" s="18"/>
      <c r="K78" s="18"/>
      <c r="L78" s="18"/>
      <c r="M78" s="18"/>
    </row>
    <row r="79" customFormat="false" ht="15" hidden="false" customHeight="false" outlineLevel="0" collapsed="false">
      <c r="A79" s="18" t="n">
        <v>4</v>
      </c>
      <c r="B79" s="18" t="n">
        <v>38</v>
      </c>
      <c r="C79" s="18" t="s">
        <v>222</v>
      </c>
      <c r="D79" s="18" t="n">
        <v>174</v>
      </c>
      <c r="E79" s="19" t="n">
        <v>39000</v>
      </c>
      <c r="F79" s="18" t="s">
        <v>113</v>
      </c>
      <c r="G79" s="18" t="s">
        <v>113</v>
      </c>
      <c r="H79" s="18" t="str">
        <f aca="false">IF(OR(G79="Accept",G79="Reject"),"Yes","No")</f>
        <v>Yes</v>
      </c>
      <c r="I79" s="18" t="s">
        <v>114</v>
      </c>
      <c r="J79" s="18"/>
      <c r="K79" s="18"/>
      <c r="L79" s="18"/>
      <c r="M79" s="18"/>
    </row>
    <row r="80" customFormat="false" ht="15" hidden="false" customHeight="false" outlineLevel="0" collapsed="false">
      <c r="A80" s="18" t="n">
        <v>4</v>
      </c>
      <c r="B80" s="18" t="n">
        <v>39</v>
      </c>
      <c r="C80" s="18" t="s">
        <v>223</v>
      </c>
      <c r="D80" s="18" t="n">
        <v>180</v>
      </c>
      <c r="E80" s="19" t="n">
        <v>162000</v>
      </c>
      <c r="F80" s="18" t="s">
        <v>113</v>
      </c>
      <c r="G80" s="18" t="s">
        <v>113</v>
      </c>
      <c r="H80" s="18" t="str">
        <f aca="false">IF(OR(G80="Accept",G80="Reject"),"Yes","No")</f>
        <v>Yes</v>
      </c>
      <c r="I80" s="18" t="s">
        <v>114</v>
      </c>
      <c r="J80" s="18"/>
      <c r="K80" s="18"/>
      <c r="L80" s="18"/>
      <c r="M80" s="18"/>
    </row>
    <row r="81" customFormat="false" ht="15" hidden="false" customHeight="false" outlineLevel="0" collapsed="false">
      <c r="A81" s="18" t="n">
        <v>4</v>
      </c>
      <c r="B81" s="18" t="n">
        <v>40</v>
      </c>
      <c r="C81" s="18" t="s">
        <v>224</v>
      </c>
      <c r="D81" s="18" t="n">
        <v>183</v>
      </c>
      <c r="E81" s="19" t="n">
        <v>128000</v>
      </c>
      <c r="F81" s="18" t="s">
        <v>113</v>
      </c>
      <c r="G81" s="18" t="s">
        <v>113</v>
      </c>
      <c r="H81" s="18" t="str">
        <f aca="false">IF(OR(G81="Accept",G81="Reject"),"Yes","No")</f>
        <v>Yes</v>
      </c>
      <c r="I81" s="18" t="s">
        <v>114</v>
      </c>
      <c r="J81" s="18"/>
      <c r="K81" s="18"/>
      <c r="L81" s="18"/>
      <c r="M81" s="18"/>
    </row>
    <row r="82" customFormat="false" ht="15" hidden="false" customHeight="false" outlineLevel="0" collapsed="false">
      <c r="A82" s="18" t="n">
        <v>5</v>
      </c>
      <c r="B82" s="18" t="n">
        <v>1</v>
      </c>
      <c r="C82" s="18" t="s">
        <v>225</v>
      </c>
      <c r="D82" s="18" t="n">
        <v>301</v>
      </c>
      <c r="E82" s="19" t="n">
        <v>215000</v>
      </c>
      <c r="F82" s="18" t="s">
        <v>113</v>
      </c>
      <c r="G82" s="18" t="s">
        <v>113</v>
      </c>
      <c r="H82" s="18" t="str">
        <f aca="false">IF(OR(G82="Accept",G82="Reject"),"Yes","No")</f>
        <v>Yes</v>
      </c>
      <c r="I82" s="18" t="s">
        <v>114</v>
      </c>
      <c r="J82" s="18"/>
      <c r="K82" s="18"/>
      <c r="L82" s="18"/>
      <c r="M82" s="18"/>
    </row>
    <row r="83" customFormat="false" ht="15" hidden="false" customHeight="false" outlineLevel="0" collapsed="false">
      <c r="A83" s="18" t="n">
        <v>5</v>
      </c>
      <c r="B83" s="18" t="n">
        <v>2</v>
      </c>
      <c r="C83" s="18" t="s">
        <v>226</v>
      </c>
      <c r="D83" s="18" t="n">
        <v>302</v>
      </c>
      <c r="E83" s="19" t="n">
        <v>485000</v>
      </c>
      <c r="F83" s="18" t="s">
        <v>125</v>
      </c>
      <c r="G83" s="18" t="s">
        <v>125</v>
      </c>
      <c r="H83" s="18" t="str">
        <f aca="false">IF(OR(G83="Accept",G83="Reject"),"Yes","No")</f>
        <v>Yes</v>
      </c>
      <c r="I83" s="18" t="s">
        <v>114</v>
      </c>
      <c r="J83" s="18"/>
      <c r="K83" s="18"/>
      <c r="L83" s="18"/>
      <c r="M83" s="18" t="s">
        <v>227</v>
      </c>
    </row>
    <row r="84" customFormat="false" ht="28.35" hidden="false" customHeight="false" outlineLevel="0" collapsed="false">
      <c r="A84" s="18" t="n">
        <v>5</v>
      </c>
      <c r="B84" s="18" t="n">
        <v>3</v>
      </c>
      <c r="C84" s="18" t="s">
        <v>228</v>
      </c>
      <c r="D84" s="18" t="n">
        <v>303</v>
      </c>
      <c r="E84" s="19" t="n">
        <v>412000</v>
      </c>
      <c r="F84" s="18" t="s">
        <v>125</v>
      </c>
      <c r="G84" s="18" t="s">
        <v>125</v>
      </c>
      <c r="H84" s="18" t="str">
        <f aca="false">IF(OR(G84="Accept",G84="Reject"),"Yes","No")</f>
        <v>Yes</v>
      </c>
      <c r="I84" s="18" t="s">
        <v>114</v>
      </c>
      <c r="J84" s="18"/>
      <c r="K84" s="18"/>
      <c r="L84" s="18"/>
      <c r="M84" s="18" t="s">
        <v>229</v>
      </c>
    </row>
    <row r="85" customFormat="false" ht="28.35" hidden="false" customHeight="false" outlineLevel="0" collapsed="false">
      <c r="A85" s="18" t="n">
        <v>5</v>
      </c>
      <c r="B85" s="18" t="n">
        <v>4</v>
      </c>
      <c r="C85" s="18" t="s">
        <v>230</v>
      </c>
      <c r="D85" s="18" t="n">
        <v>304</v>
      </c>
      <c r="E85" s="19" t="n">
        <v>378000</v>
      </c>
      <c r="F85" s="18" t="s">
        <v>125</v>
      </c>
      <c r="G85" s="18" t="s">
        <v>125</v>
      </c>
      <c r="H85" s="18" t="str">
        <f aca="false">IF(OR(G85="Accept",G85="Reject"),"Yes","No")</f>
        <v>Yes</v>
      </c>
      <c r="I85" s="18" t="s">
        <v>114</v>
      </c>
      <c r="J85" s="18"/>
      <c r="K85" s="18"/>
      <c r="L85" s="18"/>
      <c r="M85" s="18" t="s">
        <v>231</v>
      </c>
    </row>
    <row r="86" customFormat="false" ht="28.35" hidden="false" customHeight="false" outlineLevel="0" collapsed="false">
      <c r="A86" s="18" t="n">
        <v>5</v>
      </c>
      <c r="B86" s="18" t="n">
        <v>5</v>
      </c>
      <c r="C86" s="18" t="s">
        <v>232</v>
      </c>
      <c r="D86" s="18" t="n">
        <v>305</v>
      </c>
      <c r="E86" s="19" t="n">
        <v>240000</v>
      </c>
      <c r="F86" s="18" t="s">
        <v>125</v>
      </c>
      <c r="G86" s="18" t="s">
        <v>125</v>
      </c>
      <c r="H86" s="18" t="str">
        <f aca="false">IF(OR(G86="Accept",G86="Reject"),"Yes","No")</f>
        <v>Yes</v>
      </c>
      <c r="I86" s="18" t="s">
        <v>114</v>
      </c>
      <c r="J86" s="18"/>
      <c r="K86" s="18"/>
      <c r="L86" s="18"/>
      <c r="M86" s="18" t="s">
        <v>233</v>
      </c>
    </row>
    <row r="87" customFormat="false" ht="15" hidden="false" customHeight="false" outlineLevel="0" collapsed="false">
      <c r="A87" s="18" t="n">
        <v>5</v>
      </c>
      <c r="B87" s="18" t="n">
        <v>6</v>
      </c>
      <c r="C87" s="18" t="s">
        <v>234</v>
      </c>
      <c r="D87" s="18" t="n">
        <v>306</v>
      </c>
      <c r="E87" s="19" t="n">
        <v>165000</v>
      </c>
      <c r="F87" s="18" t="s">
        <v>125</v>
      </c>
      <c r="G87" s="18" t="s">
        <v>125</v>
      </c>
      <c r="H87" s="18" t="str">
        <f aca="false">IF(OR(G87="Accept",G87="Reject"),"Yes","No")</f>
        <v>Yes</v>
      </c>
      <c r="I87" s="18" t="s">
        <v>114</v>
      </c>
      <c r="J87" s="18"/>
      <c r="K87" s="18"/>
      <c r="L87" s="18"/>
      <c r="M87" s="18" t="s">
        <v>235</v>
      </c>
    </row>
    <row r="88" customFormat="false" ht="15" hidden="false" customHeight="false" outlineLevel="0" collapsed="false">
      <c r="A88" s="18" t="n">
        <v>5</v>
      </c>
      <c r="B88" s="18" t="n">
        <v>7</v>
      </c>
      <c r="C88" s="18" t="s">
        <v>236</v>
      </c>
      <c r="D88" s="18" t="n">
        <v>307</v>
      </c>
      <c r="E88" s="19" t="n">
        <v>125000</v>
      </c>
      <c r="F88" s="18" t="s">
        <v>142</v>
      </c>
      <c r="G88" s="18" t="s">
        <v>143</v>
      </c>
      <c r="H88" s="18" t="str">
        <f aca="false">IF(OR(G88="Accept",G88="Reject"),"Yes","No")</f>
        <v>No</v>
      </c>
      <c r="I88" s="18" t="s">
        <v>114</v>
      </c>
      <c r="J88" s="18"/>
      <c r="K88" s="18"/>
      <c r="L88" s="18"/>
      <c r="M88" s="18"/>
    </row>
    <row r="89" customFormat="false" ht="15" hidden="false" customHeight="false" outlineLevel="0" collapsed="false">
      <c r="A89" s="18" t="n">
        <v>5</v>
      </c>
      <c r="B89" s="18" t="n">
        <v>8</v>
      </c>
      <c r="C89" s="18" t="s">
        <v>237</v>
      </c>
      <c r="D89" s="18" t="n">
        <v>308</v>
      </c>
      <c r="E89" s="19" t="n">
        <v>125000</v>
      </c>
      <c r="F89" s="18" t="s">
        <v>142</v>
      </c>
      <c r="G89" s="18" t="s">
        <v>143</v>
      </c>
      <c r="H89" s="18" t="str">
        <f aca="false">IF(OR(G89="Accept",G89="Reject"),"Yes","No")</f>
        <v>No</v>
      </c>
      <c r="I89" s="18" t="s">
        <v>114</v>
      </c>
      <c r="J89" s="18"/>
      <c r="K89" s="18"/>
      <c r="L89" s="18"/>
      <c r="M89" s="18"/>
    </row>
    <row r="92" customFormat="false" ht="15" hidden="false" customHeight="false" outlineLevel="0" collapsed="false">
      <c r="A92" s="20" t="s">
        <v>238</v>
      </c>
    </row>
    <row r="93" customFormat="false" ht="15" hidden="false" customHeight="false" outlineLevel="0" collapsed="false">
      <c r="A93" s="3" t="s">
        <v>99</v>
      </c>
      <c r="B93" s="3" t="s">
        <v>239</v>
      </c>
      <c r="C93" s="3"/>
      <c r="D93" s="3"/>
      <c r="E93" s="3" t="s">
        <v>240</v>
      </c>
      <c r="F93" s="3" t="s">
        <v>241</v>
      </c>
    </row>
    <row r="94" customFormat="false" ht="15" hidden="false" customHeight="false" outlineLevel="0" collapsed="false">
      <c r="A94" s="0" t="n">
        <v>2</v>
      </c>
      <c r="B94" s="0" t="s">
        <v>113</v>
      </c>
      <c r="E94" s="21" t="n">
        <f aca="false">COUNTIFS($A$5:$A$89,A94,$G$5:$G$89,B94)</f>
        <v>18</v>
      </c>
      <c r="F94" s="22" t="n">
        <f aca="false">SUMIFS($E$5:$E$89,$A$5:$A$89,A94,$G$5:$G$89,B94)</f>
        <v>278420000</v>
      </c>
    </row>
    <row r="95" customFormat="false" ht="15" hidden="false" customHeight="false" outlineLevel="0" collapsed="false">
      <c r="A95" s="0" t="n">
        <v>2</v>
      </c>
      <c r="B95" s="0" t="s">
        <v>125</v>
      </c>
      <c r="E95" s="21" t="n">
        <f aca="false">COUNTIFS($A$5:$A$89,A95,$G$5:$G$89,B95)</f>
        <v>2</v>
      </c>
      <c r="F95" s="22" t="n">
        <f aca="false">SUMIFS($E$5:$E$89,$A$5:$A$89,A95,$G$5:$G$89,B95)</f>
        <v>14750000</v>
      </c>
    </row>
    <row r="96" customFormat="false" ht="15" hidden="false" customHeight="false" outlineLevel="0" collapsed="false">
      <c r="A96" s="0" t="n">
        <v>2</v>
      </c>
      <c r="B96" s="0" t="s">
        <v>121</v>
      </c>
      <c r="E96" s="21" t="n">
        <f aca="false">COUNTIFS($A$5:$A$89,A96,$G$5:$G$89,B96)</f>
        <v>1</v>
      </c>
      <c r="F96" s="22" t="n">
        <f aca="false">SUMIFS($E$5:$E$89,$A$5:$A$89,A96,$G$5:$G$89,B96)</f>
        <v>11300000</v>
      </c>
    </row>
    <row r="97" customFormat="false" ht="15" hidden="false" customHeight="false" outlineLevel="0" collapsed="false">
      <c r="A97" s="0" t="n">
        <v>2</v>
      </c>
      <c r="B97" s="0" t="s">
        <v>149</v>
      </c>
      <c r="E97" s="21" t="n">
        <f aca="false">COUNTIFS($A$5:$A$89,A97,$G$5:$G$89,B97)</f>
        <v>0</v>
      </c>
      <c r="F97" s="22" t="n">
        <f aca="false">SUMIFS($E$5:$E$89,$A$5:$A$89,A97,$G$5:$G$89,B97)</f>
        <v>0</v>
      </c>
    </row>
    <row r="98" customFormat="false" ht="15" hidden="false" customHeight="false" outlineLevel="0" collapsed="false">
      <c r="A98" s="0" t="n">
        <v>2</v>
      </c>
      <c r="B98" s="0" t="s">
        <v>192</v>
      </c>
      <c r="E98" s="21" t="n">
        <f aca="false">COUNTIFS($A$5:$A$89,A98,$G$5:$G$89,B98)</f>
        <v>0</v>
      </c>
      <c r="F98" s="22" t="n">
        <f aca="false">SUMIFS($E$5:$E$89,$A$5:$A$89,A98,$G$5:$G$89,B98)</f>
        <v>0</v>
      </c>
    </row>
    <row r="99" customFormat="false" ht="15" hidden="false" customHeight="false" outlineLevel="0" collapsed="false">
      <c r="A99" s="0" t="n">
        <v>2</v>
      </c>
      <c r="B99" s="0" t="s">
        <v>143</v>
      </c>
      <c r="E99" s="21" t="n">
        <f aca="false">COUNTIFS($A$5:$A$89,A99,$G$5:$G$89,B99)</f>
        <v>2</v>
      </c>
      <c r="F99" s="22" t="n">
        <f aca="false">SUMIFS($E$5:$E$89,$A$5:$A$89,A99,$G$5:$G$89,B99)</f>
        <v>4030000</v>
      </c>
    </row>
    <row r="100" customFormat="false" ht="15" hidden="false" customHeight="false" outlineLevel="0" collapsed="false">
      <c r="A100" s="0" t="n">
        <v>2</v>
      </c>
      <c r="B100" s="20" t="s">
        <v>242</v>
      </c>
      <c r="E100" s="21" t="n">
        <f aca="false">COUNTIFS($A$5:$A$89,A100)</f>
        <v>23</v>
      </c>
      <c r="F100" s="22" t="n">
        <f aca="false">SUMIFS($E$5:$E$89,$A$5:$A$89,A100)-SUMIFS($E$5:$E$89,$A$5:$A$89,A100,$G$5:$G$89,"Superseded")</f>
        <v>308500000</v>
      </c>
      <c r="G100" s="23" t="s">
        <v>243</v>
      </c>
    </row>
    <row r="102" customFormat="false" ht="15" hidden="false" customHeight="false" outlineLevel="0" collapsed="false">
      <c r="A102" s="0" t="n">
        <v>3</v>
      </c>
      <c r="B102" s="0" t="s">
        <v>113</v>
      </c>
      <c r="E102" s="21" t="n">
        <f aca="false">COUNTIFS($A$5:$A$89,A102,$G$5:$G$89,B102)</f>
        <v>5</v>
      </c>
      <c r="F102" s="22" t="n">
        <f aca="false">SUMIFS($E$5:$E$89,$A$5:$A$89,A102,$G$5:$G$89,B102)</f>
        <v>29870000</v>
      </c>
    </row>
    <row r="103" customFormat="false" ht="15" hidden="false" customHeight="false" outlineLevel="0" collapsed="false">
      <c r="A103" s="0" t="n">
        <v>3</v>
      </c>
      <c r="B103" s="0" t="s">
        <v>125</v>
      </c>
      <c r="E103" s="21" t="n">
        <f aca="false">COUNTIFS($A$5:$A$89,A103,$G$5:$G$89,B103)</f>
        <v>7</v>
      </c>
      <c r="F103" s="22" t="n">
        <f aca="false">SUMIFS($E$5:$E$89,$A$5:$A$89,A103,$G$5:$G$89,B103)</f>
        <v>62430000</v>
      </c>
    </row>
    <row r="104" customFormat="false" ht="15" hidden="false" customHeight="false" outlineLevel="0" collapsed="false">
      <c r="A104" s="0" t="n">
        <v>3</v>
      </c>
      <c r="B104" s="0" t="s">
        <v>121</v>
      </c>
      <c r="E104" s="21" t="n">
        <f aca="false">COUNTIFS($A$5:$A$89,A104,$G$5:$G$89,B104)</f>
        <v>0</v>
      </c>
      <c r="F104" s="22" t="n">
        <f aca="false">SUMIFS($E$5:$E$89,$A$5:$A$89,A104,$G$5:$G$89,B104)</f>
        <v>0</v>
      </c>
    </row>
    <row r="105" customFormat="false" ht="15" hidden="false" customHeight="false" outlineLevel="0" collapsed="false">
      <c r="A105" s="0" t="n">
        <v>3</v>
      </c>
      <c r="B105" s="0" t="s">
        <v>149</v>
      </c>
      <c r="E105" s="21" t="n">
        <f aca="false">COUNTIFS($A$5:$A$89,A105,$G$5:$G$89,B105)</f>
        <v>1</v>
      </c>
      <c r="F105" s="22" t="n">
        <f aca="false">SUMIFS($E$5:$E$89,$A$5:$A$89,A105,$G$5:$G$89,B105)</f>
        <v>6200000</v>
      </c>
    </row>
    <row r="106" customFormat="false" ht="15" hidden="false" customHeight="false" outlineLevel="0" collapsed="false">
      <c r="A106" s="0" t="n">
        <v>3</v>
      </c>
      <c r="B106" s="0" t="s">
        <v>192</v>
      </c>
      <c r="E106" s="21" t="n">
        <f aca="false">COUNTIFS($A$5:$A$89,A106,$G$5:$G$89,B106)</f>
        <v>0</v>
      </c>
      <c r="F106" s="22" t="n">
        <f aca="false">SUMIFS($E$5:$E$89,$A$5:$A$89,A106,$G$5:$G$89,B106)</f>
        <v>0</v>
      </c>
    </row>
    <row r="107" customFormat="false" ht="15" hidden="false" customHeight="false" outlineLevel="0" collapsed="false">
      <c r="A107" s="0" t="n">
        <v>3</v>
      </c>
      <c r="B107" s="0" t="s">
        <v>143</v>
      </c>
      <c r="E107" s="21" t="n">
        <f aca="false">COUNTIFS($A$5:$A$89,A107,$G$5:$G$89,B107)</f>
        <v>1</v>
      </c>
      <c r="F107" s="22" t="n">
        <f aca="false">SUMIFS($E$5:$E$89,$A$5:$A$89,A107,$G$5:$G$89,B107)</f>
        <v>5000000</v>
      </c>
    </row>
    <row r="108" customFormat="false" ht="15" hidden="false" customHeight="false" outlineLevel="0" collapsed="false">
      <c r="A108" s="0" t="n">
        <v>3</v>
      </c>
      <c r="B108" s="20" t="s">
        <v>242</v>
      </c>
      <c r="E108" s="21" t="n">
        <f aca="false">COUNTIFS($A$5:$A$89,A108)</f>
        <v>14</v>
      </c>
      <c r="F108" s="22" t="n">
        <f aca="false">SUMIFS($E$5:$E$89,$A$5:$A$89,A108)-SUMIFS($E$5:$E$89,$A$5:$A$89,A108,$G$5:$G$89,"Superseded")</f>
        <v>103500000</v>
      </c>
      <c r="G108" s="23" t="s">
        <v>243</v>
      </c>
    </row>
    <row r="110" customFormat="false" ht="15" hidden="false" customHeight="false" outlineLevel="0" collapsed="false">
      <c r="A110" s="0" t="n">
        <v>4</v>
      </c>
      <c r="B110" s="0" t="s">
        <v>113</v>
      </c>
      <c r="E110" s="21" t="n">
        <f aca="false">COUNTIFS($A$5:$A$89,A110,$G$5:$G$89,B110)</f>
        <v>29</v>
      </c>
      <c r="F110" s="22" t="n">
        <f aca="false">SUMIFS($E$5:$E$89,$A$5:$A$89,A110,$G$5:$G$89,B110)</f>
        <v>6427000</v>
      </c>
    </row>
    <row r="111" customFormat="false" ht="15" hidden="false" customHeight="false" outlineLevel="0" collapsed="false">
      <c r="A111" s="0" t="n">
        <v>4</v>
      </c>
      <c r="B111" s="0" t="s">
        <v>125</v>
      </c>
      <c r="E111" s="21" t="n">
        <f aca="false">COUNTIFS($A$5:$A$89,A111,$G$5:$G$89,B111)</f>
        <v>10</v>
      </c>
      <c r="F111" s="22" t="n">
        <f aca="false">SUMIFS($E$5:$E$89,$A$5:$A$89,A111,$G$5:$G$89,B111)</f>
        <v>2365000</v>
      </c>
    </row>
    <row r="112" customFormat="false" ht="15" hidden="false" customHeight="false" outlineLevel="0" collapsed="false">
      <c r="A112" s="0" t="n">
        <v>4</v>
      </c>
      <c r="B112" s="0" t="s">
        <v>121</v>
      </c>
      <c r="E112" s="21" t="n">
        <f aca="false">COUNTIFS($A$5:$A$89,A112,$G$5:$G$89,B112)</f>
        <v>0</v>
      </c>
      <c r="F112" s="22" t="n">
        <f aca="false">SUMIFS($E$5:$E$89,$A$5:$A$89,A112,$G$5:$G$89,B112)</f>
        <v>0</v>
      </c>
    </row>
    <row r="113" customFormat="false" ht="15" hidden="false" customHeight="false" outlineLevel="0" collapsed="false">
      <c r="A113" s="0" t="n">
        <v>4</v>
      </c>
      <c r="B113" s="0" t="s">
        <v>149</v>
      </c>
      <c r="E113" s="21" t="n">
        <f aca="false">COUNTIFS($A$5:$A$89,A113,$G$5:$G$89,B113)</f>
        <v>0</v>
      </c>
      <c r="F113" s="22" t="n">
        <f aca="false">SUMIFS($E$5:$E$89,$A$5:$A$89,A113,$G$5:$G$89,B113)</f>
        <v>0</v>
      </c>
    </row>
    <row r="114" customFormat="false" ht="15" hidden="false" customHeight="false" outlineLevel="0" collapsed="false">
      <c r="A114" s="0" t="n">
        <v>4</v>
      </c>
      <c r="B114" s="0" t="s">
        <v>192</v>
      </c>
      <c r="E114" s="21" t="n">
        <f aca="false">COUNTIFS($A$5:$A$89,A114,$G$5:$G$89,B114)</f>
        <v>1</v>
      </c>
      <c r="F114" s="22" t="n">
        <f aca="false">SUMIFS($E$5:$E$89,$A$5:$A$89,A114,$G$5:$G$89,B114)</f>
        <v>412000</v>
      </c>
    </row>
    <row r="115" customFormat="false" ht="15" hidden="false" customHeight="false" outlineLevel="0" collapsed="false">
      <c r="A115" s="0" t="n">
        <v>4</v>
      </c>
      <c r="B115" s="0" t="s">
        <v>143</v>
      </c>
      <c r="E115" s="21" t="n">
        <f aca="false">COUNTIFS($A$5:$A$89,A115,$G$5:$G$89,B115)</f>
        <v>0</v>
      </c>
      <c r="F115" s="22" t="n">
        <f aca="false">SUMIFS($E$5:$E$89,$A$5:$A$89,A115,$G$5:$G$89,B115)</f>
        <v>0</v>
      </c>
    </row>
    <row r="116" customFormat="false" ht="15" hidden="false" customHeight="false" outlineLevel="0" collapsed="false">
      <c r="A116" s="0" t="n">
        <v>4</v>
      </c>
      <c r="B116" s="20" t="s">
        <v>242</v>
      </c>
      <c r="E116" s="21" t="n">
        <f aca="false">COUNTIFS($A$5:$A$89,A116)</f>
        <v>40</v>
      </c>
      <c r="F116" s="22" t="n">
        <f aca="false">SUMIFS($E$5:$E$89,$A$5:$A$89,A116)-SUMIFS($E$5:$E$89,$A$5:$A$89,A116,$G$5:$G$89,"Superseded")</f>
        <v>8792000</v>
      </c>
      <c r="G116" s="23" t="s">
        <v>243</v>
      </c>
    </row>
    <row r="118" customFormat="false" ht="15" hidden="false" customHeight="false" outlineLevel="0" collapsed="false">
      <c r="A118" s="0" t="n">
        <v>5</v>
      </c>
      <c r="B118" s="0" t="s">
        <v>113</v>
      </c>
      <c r="E118" s="21" t="n">
        <f aca="false">COUNTIFS($A$5:$A$89,A118,$G$5:$G$89,B118)</f>
        <v>1</v>
      </c>
      <c r="F118" s="22" t="n">
        <f aca="false">SUMIFS($E$5:$E$89,$A$5:$A$89,A118,$G$5:$G$89,B118)</f>
        <v>215000</v>
      </c>
    </row>
    <row r="119" customFormat="false" ht="15" hidden="false" customHeight="false" outlineLevel="0" collapsed="false">
      <c r="A119" s="0" t="n">
        <v>5</v>
      </c>
      <c r="B119" s="0" t="s">
        <v>125</v>
      </c>
      <c r="E119" s="21" t="n">
        <f aca="false">COUNTIFS($A$5:$A$89,A119,$G$5:$G$89,B119)</f>
        <v>5</v>
      </c>
      <c r="F119" s="22" t="n">
        <f aca="false">SUMIFS($E$5:$E$89,$A$5:$A$89,A119,$G$5:$G$89,B119)</f>
        <v>1680000</v>
      </c>
    </row>
    <row r="120" customFormat="false" ht="15" hidden="false" customHeight="false" outlineLevel="0" collapsed="false">
      <c r="A120" s="0" t="n">
        <v>5</v>
      </c>
      <c r="B120" s="0" t="s">
        <v>121</v>
      </c>
      <c r="E120" s="21" t="n">
        <f aca="false">COUNTIFS($A$5:$A$89,A120,$G$5:$G$89,B120)</f>
        <v>0</v>
      </c>
      <c r="F120" s="22" t="n">
        <f aca="false">SUMIFS($E$5:$E$89,$A$5:$A$89,A120,$G$5:$G$89,B120)</f>
        <v>0</v>
      </c>
    </row>
    <row r="121" customFormat="false" ht="15" hidden="false" customHeight="false" outlineLevel="0" collapsed="false">
      <c r="A121" s="0" t="n">
        <v>5</v>
      </c>
      <c r="B121" s="0" t="s">
        <v>149</v>
      </c>
      <c r="E121" s="21" t="n">
        <f aca="false">COUNTIFS($A$5:$A$89,A121,$G$5:$G$89,B121)</f>
        <v>0</v>
      </c>
      <c r="F121" s="22" t="n">
        <f aca="false">SUMIFS($E$5:$E$89,$A$5:$A$89,A121,$G$5:$G$89,B121)</f>
        <v>0</v>
      </c>
    </row>
    <row r="122" customFormat="false" ht="15" hidden="false" customHeight="false" outlineLevel="0" collapsed="false">
      <c r="A122" s="0" t="n">
        <v>5</v>
      </c>
      <c r="B122" s="0" t="s">
        <v>192</v>
      </c>
      <c r="E122" s="21" t="n">
        <f aca="false">COUNTIFS($A$5:$A$89,A122,$G$5:$G$89,B122)</f>
        <v>0</v>
      </c>
      <c r="F122" s="22" t="n">
        <f aca="false">SUMIFS($E$5:$E$89,$A$5:$A$89,A122,$G$5:$G$89,B122)</f>
        <v>0</v>
      </c>
    </row>
    <row r="123" customFormat="false" ht="15" hidden="false" customHeight="false" outlineLevel="0" collapsed="false">
      <c r="A123" s="0" t="n">
        <v>5</v>
      </c>
      <c r="B123" s="0" t="s">
        <v>143</v>
      </c>
      <c r="E123" s="21" t="n">
        <f aca="false">COUNTIFS($A$5:$A$89,A123,$G$5:$G$89,B123)</f>
        <v>2</v>
      </c>
      <c r="F123" s="22" t="n">
        <f aca="false">SUMIFS($E$5:$E$89,$A$5:$A$89,A123,$G$5:$G$89,B123)</f>
        <v>250000</v>
      </c>
    </row>
    <row r="124" customFormat="false" ht="15" hidden="false" customHeight="false" outlineLevel="0" collapsed="false">
      <c r="A124" s="0" t="n">
        <v>5</v>
      </c>
      <c r="B124" s="20" t="s">
        <v>242</v>
      </c>
      <c r="E124" s="21" t="n">
        <f aca="false">COUNTIFS($A$5:$A$89,A124)</f>
        <v>8</v>
      </c>
      <c r="F124" s="22" t="n">
        <f aca="false">SUMIFS($E$5:$E$89,$A$5:$A$89,A124)-SUMIFS($E$5:$E$89,$A$5:$A$89,A124,$G$5:$G$89,"Superseded")</f>
        <v>2145000</v>
      </c>
      <c r="G124" s="23" t="s">
        <v>243</v>
      </c>
    </row>
    <row r="126" customFormat="false" ht="15" hidden="false" customHeight="false" outlineLevel="0" collapsed="false">
      <c r="A126" s="20" t="s">
        <v>244</v>
      </c>
    </row>
    <row r="127" customFormat="false" ht="15" hidden="false" customHeight="false" outlineLevel="0" collapsed="false">
      <c r="A127" s="0" t="n">
        <v>4</v>
      </c>
      <c r="B127" s="0" t="s">
        <v>113</v>
      </c>
      <c r="E127" s="21" t="n">
        <f aca="false">COUNTIFS($A$5:$A$89,4,$G$5:$G$89,B127,$I$5:$I$89,"Yes")</f>
        <v>4</v>
      </c>
      <c r="F127" s="22" t="n">
        <f aca="false">SUMIFS($E$5:$E$89,$A$5:$A$89,4,$G$5:$G$89,B127,$I$5:$I$89,"Yes")</f>
        <v>1740000</v>
      </c>
    </row>
    <row r="128" customFormat="false" ht="15" hidden="false" customHeight="false" outlineLevel="0" collapsed="false">
      <c r="A128" s="0" t="n">
        <v>4</v>
      </c>
      <c r="B128" s="0" t="s">
        <v>125</v>
      </c>
      <c r="E128" s="21" t="n">
        <f aca="false">COUNTIFS($A$5:$A$89,4,$G$5:$G$89,B128,$I$5:$I$89,"Yes")</f>
        <v>3</v>
      </c>
      <c r="F128" s="22" t="n">
        <f aca="false">SUMIFS($E$5:$E$89,$A$5:$A$89,4,$G$5:$G$89,B128,$I$5:$I$89,"Yes")</f>
        <v>890000</v>
      </c>
    </row>
    <row r="129" customFormat="false" ht="15" hidden="false" customHeight="false" outlineLevel="0" collapsed="false">
      <c r="A129" s="0" t="n">
        <v>4</v>
      </c>
      <c r="B129" s="20" t="s">
        <v>245</v>
      </c>
      <c r="E129" s="21" t="n">
        <f aca="false">E127+E128</f>
        <v>7</v>
      </c>
      <c r="F129" s="22" t="n">
        <f aca="false">F127+F128</f>
        <v>2630000</v>
      </c>
    </row>
  </sheetData>
  <autoFilter ref="A4:M89"/>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48"/>
    <col collapsed="false" customWidth="true" hidden="false" outlineLevel="0" max="4" min="4" style="0" width="36"/>
    <col collapsed="false" customWidth="true" hidden="false" outlineLevel="0" max="6" min="5" style="0" width="16"/>
    <col collapsed="false" customWidth="true" hidden="false" outlineLevel="0" max="7" min="7" style="0" width="14"/>
    <col collapsed="false" customWidth="true" hidden="false" outlineLevel="0" max="8" min="8" style="0" width="10"/>
    <col collapsed="false" customWidth="true" hidden="false" outlineLevel="0" max="9" min="9" style="0" width="9"/>
    <col collapsed="false" customWidth="true" hidden="false" outlineLevel="0" max="10" min="10" style="0" width="70"/>
  </cols>
  <sheetData>
    <row r="1" customFormat="false" ht="17.35" hidden="false" customHeight="false" outlineLevel="0" collapsed="false">
      <c r="A1" s="1" t="s">
        <v>246</v>
      </c>
    </row>
    <row r="2" customFormat="false" ht="30" hidden="false" customHeight="true" outlineLevel="0" collapsed="false">
      <c r="A2" s="2" t="s">
        <v>247</v>
      </c>
      <c r="B2" s="2"/>
      <c r="C2" s="2"/>
      <c r="D2" s="2"/>
      <c r="E2" s="2"/>
      <c r="F2" s="2"/>
      <c r="G2" s="2"/>
      <c r="H2" s="2"/>
      <c r="I2" s="2"/>
      <c r="J2" s="2"/>
    </row>
    <row r="4" customFormat="false" ht="28.35" hidden="false" customHeight="false" outlineLevel="0" collapsed="false">
      <c r="A4" s="3" t="s">
        <v>248</v>
      </c>
      <c r="B4" s="3" t="s">
        <v>99</v>
      </c>
      <c r="C4" s="3" t="s">
        <v>249</v>
      </c>
      <c r="D4" s="3" t="s">
        <v>250</v>
      </c>
      <c r="E4" s="3" t="s">
        <v>251</v>
      </c>
      <c r="F4" s="3" t="s">
        <v>252</v>
      </c>
      <c r="G4" s="3" t="s">
        <v>253</v>
      </c>
      <c r="H4" s="3" t="s">
        <v>254</v>
      </c>
      <c r="I4" s="3" t="s">
        <v>255</v>
      </c>
      <c r="J4" s="3" t="s">
        <v>256</v>
      </c>
    </row>
    <row r="5" customFormat="false" ht="15" hidden="false" customHeight="false" outlineLevel="0" collapsed="false">
      <c r="A5" s="18" t="s">
        <v>257</v>
      </c>
      <c r="B5" s="18" t="n">
        <v>2</v>
      </c>
      <c r="C5" s="18" t="s">
        <v>258</v>
      </c>
      <c r="D5" s="18" t="s">
        <v>259</v>
      </c>
      <c r="E5" s="19" t="n">
        <v>278420000</v>
      </c>
      <c r="F5" s="24" t="n">
        <f aca="false">'Ballot Detail'!$F$94</f>
        <v>278420000</v>
      </c>
      <c r="G5" s="25" t="n">
        <f aca="false">F5-E5</f>
        <v>0</v>
      </c>
      <c r="H5" s="26" t="n">
        <v>0.5</v>
      </c>
      <c r="I5" s="18" t="str">
        <f aca="false">IF(ABS(G5)&lt;=H5,"PASS","FAIL")</f>
        <v>PASS</v>
      </c>
      <c r="J5" s="18"/>
    </row>
    <row r="6" customFormat="false" ht="15" hidden="false" customHeight="false" outlineLevel="0" collapsed="false">
      <c r="A6" s="18" t="s">
        <v>260</v>
      </c>
      <c r="B6" s="18" t="n">
        <v>2</v>
      </c>
      <c r="C6" s="18" t="s">
        <v>261</v>
      </c>
      <c r="D6" s="18" t="s">
        <v>262</v>
      </c>
      <c r="E6" s="27" t="n">
        <v>18</v>
      </c>
      <c r="F6" s="28" t="n">
        <f aca="false">'Ballot Detail'!$E$94</f>
        <v>18</v>
      </c>
      <c r="G6" s="29" t="n">
        <f aca="false">F6-E6</f>
        <v>0</v>
      </c>
      <c r="H6" s="26" t="n">
        <v>0.5</v>
      </c>
      <c r="I6" s="18" t="str">
        <f aca="false">IF(ABS(G6)&lt;=H6,"PASS","FAIL")</f>
        <v>PASS</v>
      </c>
      <c r="J6" s="18"/>
    </row>
    <row r="7" customFormat="false" ht="15" hidden="false" customHeight="false" outlineLevel="0" collapsed="false">
      <c r="A7" s="18" t="s">
        <v>263</v>
      </c>
      <c r="B7" s="18" t="n">
        <v>2</v>
      </c>
      <c r="C7" s="18" t="s">
        <v>264</v>
      </c>
      <c r="D7" s="18" t="s">
        <v>262</v>
      </c>
      <c r="E7" s="19" t="n">
        <v>14750000</v>
      </c>
      <c r="F7" s="24" t="n">
        <f aca="false">'Ballot Detail'!$F$95</f>
        <v>14750000</v>
      </c>
      <c r="G7" s="25" t="n">
        <f aca="false">F7-E7</f>
        <v>0</v>
      </c>
      <c r="H7" s="26" t="n">
        <v>0.5</v>
      </c>
      <c r="I7" s="18" t="str">
        <f aca="false">IF(ABS(G7)&lt;=H7,"PASS","FAIL")</f>
        <v>PASS</v>
      </c>
      <c r="J7" s="18"/>
    </row>
    <row r="8" customFormat="false" ht="15" hidden="false" customHeight="false" outlineLevel="0" collapsed="false">
      <c r="A8" s="18" t="s">
        <v>265</v>
      </c>
      <c r="B8" s="18" t="n">
        <v>2</v>
      </c>
      <c r="C8" s="18" t="s">
        <v>266</v>
      </c>
      <c r="D8" s="18" t="s">
        <v>267</v>
      </c>
      <c r="E8" s="19" t="n">
        <v>11300000</v>
      </c>
      <c r="F8" s="24" t="n">
        <f aca="false">'Ballot Detail'!$F$96</f>
        <v>11300000</v>
      </c>
      <c r="G8" s="25" t="n">
        <f aca="false">F8-E8</f>
        <v>0</v>
      </c>
      <c r="H8" s="26" t="n">
        <v>0.5</v>
      </c>
      <c r="I8" s="18" t="str">
        <f aca="false">IF(ABS(G8)&lt;=H8,"PASS","FAIL")</f>
        <v>PASS</v>
      </c>
      <c r="J8" s="18"/>
    </row>
    <row r="9" customFormat="false" ht="15" hidden="false" customHeight="false" outlineLevel="0" collapsed="false">
      <c r="A9" s="18" t="s">
        <v>268</v>
      </c>
      <c r="B9" s="18" t="n">
        <v>2</v>
      </c>
      <c r="C9" s="18" t="s">
        <v>269</v>
      </c>
      <c r="D9" s="18" t="s">
        <v>262</v>
      </c>
      <c r="E9" s="19" t="n">
        <v>4030000</v>
      </c>
      <c r="F9" s="24" t="n">
        <f aca="false">'Ballot Detail'!$F$99</f>
        <v>4030000</v>
      </c>
      <c r="G9" s="25" t="n">
        <f aca="false">F9-E9</f>
        <v>0</v>
      </c>
      <c r="H9" s="26" t="n">
        <v>0.5</v>
      </c>
      <c r="I9" s="18" t="str">
        <f aca="false">IF(ABS(G9)&lt;=H9,"PASS","FAIL")</f>
        <v>PASS</v>
      </c>
      <c r="J9" s="18"/>
    </row>
    <row r="10" customFormat="false" ht="15" hidden="false" customHeight="false" outlineLevel="0" collapsed="false">
      <c r="A10" s="18" t="s">
        <v>270</v>
      </c>
      <c r="B10" s="18" t="n">
        <v>2</v>
      </c>
      <c r="C10" s="18" t="s">
        <v>271</v>
      </c>
      <c r="D10" s="18" t="s">
        <v>272</v>
      </c>
      <c r="E10" s="19" t="n">
        <v>308500000</v>
      </c>
      <c r="F10" s="24" t="n">
        <f aca="false">'Ballot Detail'!$F$100</f>
        <v>308500000</v>
      </c>
      <c r="G10" s="25" t="n">
        <f aca="false">F10-E10</f>
        <v>0</v>
      </c>
      <c r="H10" s="26" t="n">
        <v>0.5</v>
      </c>
      <c r="I10" s="18" t="str">
        <f aca="false">IF(ABS(G10)&lt;=H10,"PASS","FAIL")</f>
        <v>PASS</v>
      </c>
      <c r="J10" s="18"/>
    </row>
    <row r="11" customFormat="false" ht="15" hidden="false" customHeight="false" outlineLevel="0" collapsed="false">
      <c r="A11" s="18" t="s">
        <v>273</v>
      </c>
      <c r="B11" s="18" t="n">
        <v>2</v>
      </c>
      <c r="C11" s="18" t="s">
        <v>274</v>
      </c>
      <c r="D11" s="18" t="s">
        <v>262</v>
      </c>
      <c r="E11" s="27" t="n">
        <v>23</v>
      </c>
      <c r="F11" s="28" t="n">
        <f aca="false">'Ballot Detail'!$E$100</f>
        <v>23</v>
      </c>
      <c r="G11" s="29" t="n">
        <f aca="false">F11-E11</f>
        <v>0</v>
      </c>
      <c r="H11" s="26" t="n">
        <v>0.5</v>
      </c>
      <c r="I11" s="18" t="str">
        <f aca="false">IF(ABS(G11)&lt;=H11,"PASS","FAIL")</f>
        <v>PASS</v>
      </c>
      <c r="J11" s="18"/>
    </row>
    <row r="12" customFormat="false" ht="15" hidden="false" customHeight="false" outlineLevel="0" collapsed="false">
      <c r="A12" s="18" t="s">
        <v>275</v>
      </c>
      <c r="B12" s="18" t="n">
        <v>2</v>
      </c>
      <c r="C12" s="18" t="s">
        <v>276</v>
      </c>
      <c r="D12" s="18" t="s">
        <v>21</v>
      </c>
      <c r="E12" s="19" t="n">
        <v>293170000</v>
      </c>
      <c r="F12" s="24" t="n">
        <f aca="false">Summary!C12+Summary!C14</f>
        <v>293170000</v>
      </c>
      <c r="G12" s="25" t="n">
        <f aca="false">F12-E12</f>
        <v>0</v>
      </c>
      <c r="H12" s="26" t="n">
        <v>0.5</v>
      </c>
      <c r="I12" s="18" t="str">
        <f aca="false">IF(ABS(G12)&lt;=H12,"PASS","FAIL")</f>
        <v>PASS</v>
      </c>
      <c r="J12" s="18"/>
    </row>
    <row r="13" customFormat="false" ht="15" hidden="false" customHeight="false" outlineLevel="0" collapsed="false">
      <c r="A13" s="18" t="s">
        <v>277</v>
      </c>
      <c r="B13" s="18" t="n">
        <v>2</v>
      </c>
      <c r="C13" s="18" t="s">
        <v>278</v>
      </c>
      <c r="D13" s="18" t="s">
        <v>21</v>
      </c>
      <c r="E13" s="30" t="n">
        <v>0.9</v>
      </c>
      <c r="F13" s="31" t="n">
        <f aca="false">ROUND(18/20,4)</f>
        <v>0.9</v>
      </c>
      <c r="G13" s="31" t="n">
        <f aca="false">F13-E13</f>
        <v>0</v>
      </c>
      <c r="H13" s="32" t="n">
        <v>6E-005</v>
      </c>
      <c r="I13" s="18" t="str">
        <f aca="false">IF(ABS(G13)&lt;=H13,"PASS","FAIL")</f>
        <v>PASS</v>
      </c>
      <c r="J13" s="18"/>
    </row>
    <row r="14" customFormat="false" ht="15" hidden="false" customHeight="false" outlineLevel="0" collapsed="false">
      <c r="A14" s="18" t="s">
        <v>279</v>
      </c>
      <c r="B14" s="18" t="n">
        <v>2</v>
      </c>
      <c r="C14" s="18" t="s">
        <v>280</v>
      </c>
      <c r="D14" s="18" t="s">
        <v>21</v>
      </c>
      <c r="E14" s="30" t="n">
        <v>0.9497</v>
      </c>
      <c r="F14" s="31" t="n">
        <f aca="false">ROUND(278420000/293170000,4)</f>
        <v>0.9497</v>
      </c>
      <c r="G14" s="31" t="n">
        <f aca="false">F14-E14</f>
        <v>0</v>
      </c>
      <c r="H14" s="32" t="n">
        <v>6E-005</v>
      </c>
      <c r="I14" s="18" t="str">
        <f aca="false">IF(ABS(G14)&lt;=H14,"PASS","FAIL")</f>
        <v>PASS</v>
      </c>
      <c r="J14" s="18"/>
    </row>
    <row r="15" customFormat="false" ht="15" hidden="false" customHeight="false" outlineLevel="0" collapsed="false">
      <c r="A15" s="18" t="s">
        <v>281</v>
      </c>
      <c r="B15" s="18" t="n">
        <v>2</v>
      </c>
      <c r="C15" s="18" t="s">
        <v>282</v>
      </c>
      <c r="D15" s="18" t="s">
        <v>283</v>
      </c>
      <c r="E15" s="19" t="n">
        <v>262820000</v>
      </c>
      <c r="F15" s="25" t="n">
        <f aca="false">278420000-15600000</f>
        <v>262820000</v>
      </c>
      <c r="G15" s="25" t="n">
        <f aca="false">F15-E15</f>
        <v>0</v>
      </c>
      <c r="H15" s="26" t="n">
        <v>0.5</v>
      </c>
      <c r="I15" s="18" t="str">
        <f aca="false">IF(ABS(G15)&lt;=H15,"PASS","FAIL")</f>
        <v>PASS</v>
      </c>
      <c r="J15" s="18"/>
    </row>
    <row r="16" customFormat="false" ht="15" hidden="false" customHeight="false" outlineLevel="0" collapsed="false">
      <c r="A16" s="18" t="s">
        <v>284</v>
      </c>
      <c r="B16" s="18" t="n">
        <v>2</v>
      </c>
      <c r="C16" s="18" t="s">
        <v>285</v>
      </c>
      <c r="D16" s="18" t="s">
        <v>283</v>
      </c>
      <c r="E16" s="19" t="n">
        <v>277570000</v>
      </c>
      <c r="F16" s="25" t="n">
        <f aca="false">293170000-15600000</f>
        <v>277570000</v>
      </c>
      <c r="G16" s="25" t="n">
        <f aca="false">F16-E16</f>
        <v>0</v>
      </c>
      <c r="H16" s="26" t="n">
        <v>0.5</v>
      </c>
      <c r="I16" s="18" t="str">
        <f aca="false">IF(ABS(G16)&lt;=H16,"PASS","FAIL")</f>
        <v>PASS</v>
      </c>
      <c r="J16" s="18"/>
    </row>
    <row r="17" customFormat="false" ht="15" hidden="false" customHeight="false" outlineLevel="0" collapsed="false">
      <c r="A17" s="18" t="s">
        <v>286</v>
      </c>
      <c r="B17" s="18" t="n">
        <v>2</v>
      </c>
      <c r="C17" s="18" t="s">
        <v>287</v>
      </c>
      <c r="D17" s="18" t="s">
        <v>283</v>
      </c>
      <c r="E17" s="30" t="n">
        <v>0.8947</v>
      </c>
      <c r="F17" s="31" t="n">
        <f aca="false">ROUND(17/19,4)</f>
        <v>0.8947</v>
      </c>
      <c r="G17" s="31" t="n">
        <f aca="false">F17-E17</f>
        <v>0</v>
      </c>
      <c r="H17" s="32" t="n">
        <v>6E-005</v>
      </c>
      <c r="I17" s="18" t="str">
        <f aca="false">IF(ABS(G17)&lt;=H17,"PASS","FAIL")</f>
        <v>PASS</v>
      </c>
      <c r="J17" s="18"/>
    </row>
    <row r="18" customFormat="false" ht="15" hidden="false" customHeight="false" outlineLevel="0" collapsed="false">
      <c r="A18" s="18" t="s">
        <v>288</v>
      </c>
      <c r="B18" s="18" t="n">
        <v>2</v>
      </c>
      <c r="C18" s="18" t="s">
        <v>289</v>
      </c>
      <c r="D18" s="18" t="s">
        <v>283</v>
      </c>
      <c r="E18" s="30" t="n">
        <v>0.9469</v>
      </c>
      <c r="F18" s="31" t="n">
        <f aca="false">ROUND(262820000/277570000,4)</f>
        <v>0.9469</v>
      </c>
      <c r="G18" s="31" t="n">
        <f aca="false">F18-E18</f>
        <v>0</v>
      </c>
      <c r="H18" s="32" t="n">
        <v>6E-005</v>
      </c>
      <c r="I18" s="18" t="str">
        <f aca="false">IF(ABS(G18)&lt;=H18,"PASS","FAIL")</f>
        <v>PASS</v>
      </c>
      <c r="J18" s="18"/>
    </row>
    <row r="19" customFormat="false" ht="15" hidden="false" customHeight="false" outlineLevel="0" collapsed="false">
      <c r="A19" s="18" t="s">
        <v>290</v>
      </c>
      <c r="B19" s="18" t="n">
        <v>2</v>
      </c>
      <c r="C19" s="18" t="s">
        <v>291</v>
      </c>
      <c r="D19" s="18" t="s">
        <v>292</v>
      </c>
      <c r="E19" s="30" t="n">
        <v>0.607</v>
      </c>
      <c r="F19" s="31" t="n">
        <f aca="false">ROUND(187300000/308500000,3)</f>
        <v>0.607</v>
      </c>
      <c r="G19" s="31" t="n">
        <f aca="false">F19-E19</f>
        <v>0</v>
      </c>
      <c r="H19" s="32" t="n">
        <v>0.0006</v>
      </c>
      <c r="I19" s="18" t="str">
        <f aca="false">IF(ABS(G19)&lt;=H19,"PASS","FAIL")</f>
        <v>PASS</v>
      </c>
      <c r="J19" s="18"/>
    </row>
    <row r="20" customFormat="false" ht="15" hidden="false" customHeight="false" outlineLevel="0" collapsed="false">
      <c r="A20" s="18" t="s">
        <v>293</v>
      </c>
      <c r="B20" s="18" t="n">
        <v>2</v>
      </c>
      <c r="C20" s="18" t="s">
        <v>294</v>
      </c>
      <c r="D20" s="18" t="s">
        <v>295</v>
      </c>
      <c r="E20" s="30" t="n">
        <v>0.803</v>
      </c>
      <c r="F20" s="31" t="n">
        <f aca="false">ROUND(247800000/308500000,3)</f>
        <v>0.803</v>
      </c>
      <c r="G20" s="31" t="n">
        <f aca="false">F20-E20</f>
        <v>0</v>
      </c>
      <c r="H20" s="32" t="n">
        <v>0.0006</v>
      </c>
      <c r="I20" s="18" t="str">
        <f aca="false">IF(ABS(G20)&lt;=H20,"PASS","FAIL")</f>
        <v>PASS</v>
      </c>
      <c r="J20" s="18"/>
    </row>
    <row r="21" customFormat="false" ht="28.35" hidden="false" customHeight="false" outlineLevel="0" collapsed="false">
      <c r="A21" s="18" t="s">
        <v>296</v>
      </c>
      <c r="B21" s="18" t="n">
        <v>2</v>
      </c>
      <c r="C21" s="18" t="s">
        <v>297</v>
      </c>
      <c r="D21" s="18" t="s">
        <v>298</v>
      </c>
      <c r="E21" s="30" t="n">
        <v>0.283</v>
      </c>
      <c r="F21" s="31" t="n">
        <f aca="false">ROUND(3200000/11300000,3)</f>
        <v>0.283</v>
      </c>
      <c r="G21" s="31" t="n">
        <f aca="false">F21-E21</f>
        <v>0</v>
      </c>
      <c r="H21" s="32" t="n">
        <v>0.0006</v>
      </c>
      <c r="I21" s="18" t="str">
        <f aca="false">IF(ABS(G21)&lt;=H21,"PASS","FAIL")</f>
        <v>PASS</v>
      </c>
      <c r="J21" s="18"/>
    </row>
    <row r="22" customFormat="false" ht="28.35" hidden="false" customHeight="false" outlineLevel="0" collapsed="false">
      <c r="A22" s="18" t="s">
        <v>299</v>
      </c>
      <c r="B22" s="18" t="n">
        <v>2</v>
      </c>
      <c r="C22" s="18" t="s">
        <v>300</v>
      </c>
      <c r="D22" s="18" t="s">
        <v>301</v>
      </c>
      <c r="E22" s="19" t="n">
        <v>8023000</v>
      </c>
      <c r="F22" s="25" t="n">
        <f aca="false">0.71*11300000</f>
        <v>8023000</v>
      </c>
      <c r="G22" s="25" t="n">
        <f aca="false">F22-E22</f>
        <v>0</v>
      </c>
      <c r="H22" s="26" t="n">
        <v>1000</v>
      </c>
      <c r="I22" s="18" t="str">
        <f aca="false">IF(ABS(G22)&lt;=H22,"PASS","FAIL")</f>
        <v>PASS</v>
      </c>
      <c r="J22" s="18" t="s">
        <v>302</v>
      </c>
    </row>
    <row r="23" customFormat="false" ht="15" hidden="false" customHeight="false" outlineLevel="0" collapsed="false">
      <c r="A23" s="18" t="s">
        <v>303</v>
      </c>
      <c r="B23" s="18" t="n">
        <v>3</v>
      </c>
      <c r="C23" s="18" t="s">
        <v>304</v>
      </c>
      <c r="D23" s="18" t="s">
        <v>305</v>
      </c>
      <c r="E23" s="19" t="n">
        <v>29870000</v>
      </c>
      <c r="F23" s="24" t="n">
        <f aca="false">'Ballot Detail'!$F$102</f>
        <v>29870000</v>
      </c>
      <c r="G23" s="25" t="n">
        <f aca="false">F23-E23</f>
        <v>0</v>
      </c>
      <c r="H23" s="26" t="n">
        <v>0.5</v>
      </c>
      <c r="I23" s="18" t="str">
        <f aca="false">IF(ABS(G23)&lt;=H23,"PASS","FAIL")</f>
        <v>PASS</v>
      </c>
      <c r="J23" s="18"/>
    </row>
    <row r="24" customFormat="false" ht="15" hidden="false" customHeight="false" outlineLevel="0" collapsed="false">
      <c r="A24" s="18" t="s">
        <v>306</v>
      </c>
      <c r="B24" s="18" t="n">
        <v>3</v>
      </c>
      <c r="C24" s="18" t="s">
        <v>261</v>
      </c>
      <c r="D24" s="18" t="s">
        <v>305</v>
      </c>
      <c r="E24" s="27" t="n">
        <v>5</v>
      </c>
      <c r="F24" s="28" t="n">
        <f aca="false">'Ballot Detail'!$E$102</f>
        <v>5</v>
      </c>
      <c r="G24" s="29" t="n">
        <f aca="false">F24-E24</f>
        <v>0</v>
      </c>
      <c r="H24" s="26" t="n">
        <v>0.5</v>
      </c>
      <c r="I24" s="18" t="str">
        <f aca="false">IF(ABS(G24)&lt;=H24,"PASS","FAIL")</f>
        <v>PASS</v>
      </c>
      <c r="J24" s="18"/>
    </row>
    <row r="25" customFormat="false" ht="15" hidden="false" customHeight="false" outlineLevel="0" collapsed="false">
      <c r="A25" s="18" t="s">
        <v>307</v>
      </c>
      <c r="B25" s="18" t="n">
        <v>3</v>
      </c>
      <c r="C25" s="18" t="s">
        <v>308</v>
      </c>
      <c r="D25" s="18" t="s">
        <v>305</v>
      </c>
      <c r="E25" s="19" t="n">
        <v>62430000</v>
      </c>
      <c r="F25" s="24" t="n">
        <f aca="false">'Ballot Detail'!$F$103</f>
        <v>62430000</v>
      </c>
      <c r="G25" s="25" t="n">
        <f aca="false">F25-E25</f>
        <v>0</v>
      </c>
      <c r="H25" s="26" t="n">
        <v>0.5</v>
      </c>
      <c r="I25" s="18" t="str">
        <f aca="false">IF(ABS(G25)&lt;=H25,"PASS","FAIL")</f>
        <v>PASS</v>
      </c>
      <c r="J25" s="18"/>
    </row>
    <row r="26" customFormat="false" ht="15" hidden="false" customHeight="false" outlineLevel="0" collapsed="false">
      <c r="A26" s="18" t="s">
        <v>309</v>
      </c>
      <c r="B26" s="18" t="n">
        <v>3</v>
      </c>
      <c r="C26" s="18" t="s">
        <v>310</v>
      </c>
      <c r="D26" s="18" t="s">
        <v>305</v>
      </c>
      <c r="E26" s="27" t="n">
        <v>7</v>
      </c>
      <c r="F26" s="28" t="n">
        <f aca="false">'Ballot Detail'!$E$103</f>
        <v>7</v>
      </c>
      <c r="G26" s="29" t="n">
        <f aca="false">F26-E26</f>
        <v>0</v>
      </c>
      <c r="H26" s="26" t="n">
        <v>0.5</v>
      </c>
      <c r="I26" s="18" t="str">
        <f aca="false">IF(ABS(G26)&lt;=H26,"PASS","FAIL")</f>
        <v>PASS</v>
      </c>
      <c r="J26" s="18"/>
    </row>
    <row r="27" customFormat="false" ht="15" hidden="false" customHeight="false" outlineLevel="0" collapsed="false">
      <c r="A27" s="18" t="s">
        <v>311</v>
      </c>
      <c r="B27" s="18" t="n">
        <v>3</v>
      </c>
      <c r="C27" s="18" t="s">
        <v>312</v>
      </c>
      <c r="D27" s="18" t="s">
        <v>305</v>
      </c>
      <c r="E27" s="19" t="n">
        <v>6200000</v>
      </c>
      <c r="F27" s="24" t="n">
        <f aca="false">'Ballot Detail'!$F$105</f>
        <v>6200000</v>
      </c>
      <c r="G27" s="25" t="n">
        <f aca="false">F27-E27</f>
        <v>0</v>
      </c>
      <c r="H27" s="26" t="n">
        <v>0.5</v>
      </c>
      <c r="I27" s="18" t="str">
        <f aca="false">IF(ABS(G27)&lt;=H27,"PASS","FAIL")</f>
        <v>PASS</v>
      </c>
      <c r="J27" s="18"/>
    </row>
    <row r="28" customFormat="false" ht="15" hidden="false" customHeight="false" outlineLevel="0" collapsed="false">
      <c r="A28" s="18" t="s">
        <v>313</v>
      </c>
      <c r="B28" s="18" t="n">
        <v>3</v>
      </c>
      <c r="C28" s="18" t="s">
        <v>314</v>
      </c>
      <c r="D28" s="18" t="s">
        <v>305</v>
      </c>
      <c r="E28" s="19" t="n">
        <v>5000000</v>
      </c>
      <c r="F28" s="24" t="n">
        <f aca="false">'Ballot Detail'!$F$107</f>
        <v>5000000</v>
      </c>
      <c r="G28" s="25" t="n">
        <f aca="false">F28-E28</f>
        <v>0</v>
      </c>
      <c r="H28" s="26" t="n">
        <v>0.5</v>
      </c>
      <c r="I28" s="18" t="str">
        <f aca="false">IF(ABS(G28)&lt;=H28,"PASS","FAIL")</f>
        <v>PASS</v>
      </c>
      <c r="J28" s="18"/>
    </row>
    <row r="29" customFormat="false" ht="15" hidden="false" customHeight="false" outlineLevel="0" collapsed="false">
      <c r="A29" s="18" t="s">
        <v>315</v>
      </c>
      <c r="B29" s="18" t="n">
        <v>3</v>
      </c>
      <c r="C29" s="18" t="s">
        <v>316</v>
      </c>
      <c r="D29" s="18" t="s">
        <v>317</v>
      </c>
      <c r="E29" s="19" t="n">
        <v>103500000</v>
      </c>
      <c r="F29" s="24" t="n">
        <f aca="false">'Ballot Detail'!$F$108</f>
        <v>103500000</v>
      </c>
      <c r="G29" s="25" t="n">
        <f aca="false">F29-E29</f>
        <v>0</v>
      </c>
      <c r="H29" s="26" t="n">
        <v>0.5</v>
      </c>
      <c r="I29" s="18" t="str">
        <f aca="false">IF(ABS(G29)&lt;=H29,"PASS","FAIL")</f>
        <v>PASS</v>
      </c>
      <c r="J29" s="18"/>
    </row>
    <row r="30" customFormat="false" ht="15" hidden="false" customHeight="false" outlineLevel="0" collapsed="false">
      <c r="A30" s="18" t="s">
        <v>318</v>
      </c>
      <c r="B30" s="18" t="n">
        <v>3</v>
      </c>
      <c r="C30" s="18" t="s">
        <v>319</v>
      </c>
      <c r="D30" s="18" t="s">
        <v>21</v>
      </c>
      <c r="E30" s="19" t="n">
        <v>92300000</v>
      </c>
      <c r="F30" s="25" t="n">
        <f aca="false">29870000+62430000</f>
        <v>92300000</v>
      </c>
      <c r="G30" s="25" t="n">
        <f aca="false">F30-E30</f>
        <v>0</v>
      </c>
      <c r="H30" s="26" t="n">
        <v>0.5</v>
      </c>
      <c r="I30" s="18" t="str">
        <f aca="false">IF(ABS(G30)&lt;=H30,"PASS","FAIL")</f>
        <v>PASS</v>
      </c>
      <c r="J30" s="18"/>
    </row>
    <row r="31" customFormat="false" ht="15" hidden="false" customHeight="false" outlineLevel="0" collapsed="false">
      <c r="A31" s="18" t="s">
        <v>320</v>
      </c>
      <c r="B31" s="18" t="n">
        <v>3</v>
      </c>
      <c r="C31" s="18" t="s">
        <v>321</v>
      </c>
      <c r="D31" s="18" t="s">
        <v>21</v>
      </c>
      <c r="E31" s="30" t="n">
        <v>0.4167</v>
      </c>
      <c r="F31" s="31" t="n">
        <f aca="false">ROUND(5/12,4)</f>
        <v>0.4167</v>
      </c>
      <c r="G31" s="31" t="n">
        <f aca="false">F31-E31</f>
        <v>0</v>
      </c>
      <c r="H31" s="32" t="n">
        <v>6E-005</v>
      </c>
      <c r="I31" s="18" t="str">
        <f aca="false">IF(ABS(G31)&lt;=H31,"PASS","FAIL")</f>
        <v>PASS</v>
      </c>
      <c r="J31" s="18"/>
    </row>
    <row r="32" customFormat="false" ht="15" hidden="false" customHeight="false" outlineLevel="0" collapsed="false">
      <c r="A32" s="18" t="s">
        <v>322</v>
      </c>
      <c r="B32" s="18" t="n">
        <v>3</v>
      </c>
      <c r="C32" s="18" t="s">
        <v>323</v>
      </c>
      <c r="D32" s="18" t="s">
        <v>21</v>
      </c>
      <c r="E32" s="30" t="n">
        <v>0.3236</v>
      </c>
      <c r="F32" s="31" t="n">
        <f aca="false">ROUND(29870000/92300000,4)</f>
        <v>0.3236</v>
      </c>
      <c r="G32" s="31" t="n">
        <f aca="false">F32-E32</f>
        <v>0</v>
      </c>
      <c r="H32" s="32" t="n">
        <v>6E-005</v>
      </c>
      <c r="I32" s="18" t="str">
        <f aca="false">IF(ABS(G32)&lt;=H32,"PASS","FAIL")</f>
        <v>PASS</v>
      </c>
      <c r="J32" s="18"/>
    </row>
    <row r="33" customFormat="false" ht="15" hidden="false" customHeight="false" outlineLevel="0" collapsed="false">
      <c r="A33" s="18" t="s">
        <v>324</v>
      </c>
      <c r="B33" s="18" t="n">
        <v>3</v>
      </c>
      <c r="C33" s="18" t="s">
        <v>325</v>
      </c>
      <c r="D33" s="18" t="s">
        <v>326</v>
      </c>
      <c r="E33" s="19" t="n">
        <v>36070000</v>
      </c>
      <c r="F33" s="25" t="n">
        <f aca="false">29870000+6200000</f>
        <v>36070000</v>
      </c>
      <c r="G33" s="25" t="n">
        <f aca="false">F33-E33</f>
        <v>0</v>
      </c>
      <c r="H33" s="26" t="n">
        <v>0.5</v>
      </c>
      <c r="I33" s="18" t="str">
        <f aca="false">IF(ABS(G33)&lt;=H33,"PASS","FAIL")</f>
        <v>PASS</v>
      </c>
      <c r="J33" s="18"/>
    </row>
    <row r="34" customFormat="false" ht="15" hidden="false" customHeight="false" outlineLevel="0" collapsed="false">
      <c r="A34" s="18" t="s">
        <v>327</v>
      </c>
      <c r="B34" s="18" t="n">
        <v>3</v>
      </c>
      <c r="C34" s="18" t="s">
        <v>328</v>
      </c>
      <c r="D34" s="18" t="s">
        <v>326</v>
      </c>
      <c r="E34" s="19" t="n">
        <v>98500000</v>
      </c>
      <c r="F34" s="25" t="n">
        <f aca="false">92300000+6200000</f>
        <v>98500000</v>
      </c>
      <c r="G34" s="25" t="n">
        <f aca="false">F34-E34</f>
        <v>0</v>
      </c>
      <c r="H34" s="26" t="n">
        <v>0.5</v>
      </c>
      <c r="I34" s="18" t="str">
        <f aca="false">IF(ABS(G34)&lt;=H34,"PASS","FAIL")</f>
        <v>PASS</v>
      </c>
      <c r="J34" s="18"/>
    </row>
    <row r="35" customFormat="false" ht="15" hidden="false" customHeight="false" outlineLevel="0" collapsed="false">
      <c r="A35" s="18" t="s">
        <v>329</v>
      </c>
      <c r="B35" s="18" t="n">
        <v>3</v>
      </c>
      <c r="C35" s="18" t="s">
        <v>330</v>
      </c>
      <c r="D35" s="18" t="s">
        <v>326</v>
      </c>
      <c r="E35" s="30" t="n">
        <v>0.4615</v>
      </c>
      <c r="F35" s="31" t="n">
        <f aca="false">ROUND(6/13,4)</f>
        <v>0.4615</v>
      </c>
      <c r="G35" s="31" t="n">
        <f aca="false">F35-E35</f>
        <v>0</v>
      </c>
      <c r="H35" s="32" t="n">
        <v>6E-005</v>
      </c>
      <c r="I35" s="18" t="str">
        <f aca="false">IF(ABS(G35)&lt;=H35,"PASS","FAIL")</f>
        <v>PASS</v>
      </c>
      <c r="J35" s="18"/>
    </row>
    <row r="36" customFormat="false" ht="15" hidden="false" customHeight="false" outlineLevel="0" collapsed="false">
      <c r="A36" s="18" t="s">
        <v>331</v>
      </c>
      <c r="B36" s="18" t="n">
        <v>3</v>
      </c>
      <c r="C36" s="18" t="s">
        <v>332</v>
      </c>
      <c r="D36" s="18" t="s">
        <v>326</v>
      </c>
      <c r="E36" s="30" t="n">
        <v>0.3662</v>
      </c>
      <c r="F36" s="31" t="n">
        <f aca="false">ROUND(36070000/98500000,4)</f>
        <v>0.3662</v>
      </c>
      <c r="G36" s="31" t="n">
        <f aca="false">F36-E36</f>
        <v>0</v>
      </c>
      <c r="H36" s="32" t="n">
        <v>6E-005</v>
      </c>
      <c r="I36" s="18" t="str">
        <f aca="false">IF(ABS(G36)&lt;=H36,"PASS","FAIL")</f>
        <v>PASS</v>
      </c>
      <c r="J36" s="18"/>
    </row>
    <row r="37" customFormat="false" ht="15" hidden="false" customHeight="false" outlineLevel="0" collapsed="false">
      <c r="A37" s="18" t="s">
        <v>333</v>
      </c>
      <c r="B37" s="18" t="n">
        <v>3</v>
      </c>
      <c r="C37" s="18" t="s">
        <v>334</v>
      </c>
      <c r="D37" s="18" t="s">
        <v>335</v>
      </c>
      <c r="E37" s="27" t="n">
        <v>162</v>
      </c>
      <c r="F37" s="29" t="n">
        <f aca="false">(19*60+42)-(17*60)</f>
        <v>162</v>
      </c>
      <c r="G37" s="29" t="n">
        <f aca="false">F37-E37</f>
        <v>0</v>
      </c>
      <c r="H37" s="26" t="n">
        <v>0.5</v>
      </c>
      <c r="I37" s="18" t="str">
        <f aca="false">IF(ABS(G37)&lt;=H37,"PASS","FAIL")</f>
        <v>PASS</v>
      </c>
      <c r="J37" s="18"/>
    </row>
    <row r="38" customFormat="false" ht="41.75" hidden="false" customHeight="false" outlineLevel="0" collapsed="false">
      <c r="A38" s="18" t="s">
        <v>336</v>
      </c>
      <c r="B38" s="18" t="n">
        <v>4</v>
      </c>
      <c r="C38" s="18" t="s">
        <v>337</v>
      </c>
      <c r="D38" s="18" t="s">
        <v>338</v>
      </c>
      <c r="E38" s="19" t="n">
        <v>24381400</v>
      </c>
      <c r="F38" s="24" t="n">
        <f aca="false">Summary!E62</f>
        <v>24318400</v>
      </c>
      <c r="G38" s="25" t="n">
        <f aca="false">F38-E38</f>
        <v>-63000</v>
      </c>
      <c r="H38" s="26" t="n">
        <v>0.5</v>
      </c>
      <c r="I38" s="18" t="str">
        <f aca="false">IF(ABS(G38)&lt;=H38,"PASS","FAIL")</f>
        <v>FAIL</v>
      </c>
      <c r="J38" s="18" t="s">
        <v>339</v>
      </c>
    </row>
    <row r="39" customFormat="false" ht="28.35" hidden="false" customHeight="false" outlineLevel="0" collapsed="false">
      <c r="A39" s="18" t="s">
        <v>340</v>
      </c>
      <c r="B39" s="18" t="n">
        <v>4</v>
      </c>
      <c r="C39" s="18" t="s">
        <v>341</v>
      </c>
      <c r="D39" s="18" t="s">
        <v>342</v>
      </c>
      <c r="E39" s="19" t="n">
        <v>33463000</v>
      </c>
      <c r="F39" s="24" t="n">
        <f aca="false">Summary!F62</f>
        <v>33400000</v>
      </c>
      <c r="G39" s="25" t="n">
        <f aca="false">F39-E39</f>
        <v>-63000</v>
      </c>
      <c r="H39" s="26" t="n">
        <v>0.5</v>
      </c>
      <c r="I39" s="18" t="str">
        <f aca="false">IF(ABS(G39)&lt;=H39,"PASS","FAIL")</f>
        <v>FAIL</v>
      </c>
      <c r="J39" s="18" t="s">
        <v>343</v>
      </c>
    </row>
    <row r="40" customFormat="false" ht="15" hidden="false" customHeight="false" outlineLevel="0" collapsed="false">
      <c r="A40" s="18" t="s">
        <v>344</v>
      </c>
      <c r="B40" s="18" t="n">
        <v>4</v>
      </c>
      <c r="C40" s="18" t="s">
        <v>345</v>
      </c>
      <c r="D40" s="18" t="s">
        <v>21</v>
      </c>
      <c r="E40" s="19" t="n">
        <v>33463000</v>
      </c>
      <c r="F40" s="25" t="n">
        <f aca="false">24381400+9081600</f>
        <v>33463000</v>
      </c>
      <c r="G40" s="25" t="n">
        <f aca="false">F40-E40</f>
        <v>0</v>
      </c>
      <c r="H40" s="26" t="n">
        <v>0.5</v>
      </c>
      <c r="I40" s="18" t="str">
        <f aca="false">IF(ABS(G40)&lt;=H40,"PASS","FAIL")</f>
        <v>PASS</v>
      </c>
      <c r="J40" s="18" t="s">
        <v>346</v>
      </c>
    </row>
    <row r="41" customFormat="false" ht="15" hidden="false" customHeight="false" outlineLevel="0" collapsed="false">
      <c r="A41" s="18" t="s">
        <v>347</v>
      </c>
      <c r="B41" s="18" t="n">
        <v>4</v>
      </c>
      <c r="C41" s="18" t="s">
        <v>348</v>
      </c>
      <c r="D41" s="18" t="s">
        <v>78</v>
      </c>
      <c r="E41" s="19" t="n">
        <v>33400000</v>
      </c>
      <c r="F41" s="25" t="n">
        <f aca="false">24318400+9081600</f>
        <v>33400000</v>
      </c>
      <c r="G41" s="25" t="n">
        <f aca="false">F41-E41</f>
        <v>0</v>
      </c>
      <c r="H41" s="26" t="n">
        <v>0.5</v>
      </c>
      <c r="I41" s="18" t="str">
        <f aca="false">IF(ABS(G41)&lt;=H41,"PASS","FAIL")</f>
        <v>PASS</v>
      </c>
      <c r="J41" s="18" t="s">
        <v>346</v>
      </c>
    </row>
    <row r="42" customFormat="false" ht="15" hidden="false" customHeight="false" outlineLevel="0" collapsed="false">
      <c r="A42" s="18" t="s">
        <v>349</v>
      </c>
      <c r="B42" s="18" t="n">
        <v>4</v>
      </c>
      <c r="C42" s="18" t="s">
        <v>350</v>
      </c>
      <c r="D42" s="18" t="s">
        <v>21</v>
      </c>
      <c r="E42" s="30" t="n">
        <v>0.7286</v>
      </c>
      <c r="F42" s="31" t="n">
        <f aca="false">ROUND(24381400/33463000,4)</f>
        <v>0.7286</v>
      </c>
      <c r="G42" s="31" t="n">
        <f aca="false">F42-E42</f>
        <v>0</v>
      </c>
      <c r="H42" s="32" t="n">
        <v>6E-005</v>
      </c>
      <c r="I42" s="18" t="str">
        <f aca="false">IF(ABS(G42)&lt;=H42,"PASS","FAIL")</f>
        <v>PASS</v>
      </c>
      <c r="J42" s="18" t="s">
        <v>351</v>
      </c>
    </row>
    <row r="43" customFormat="false" ht="15" hidden="false" customHeight="false" outlineLevel="0" collapsed="false">
      <c r="A43" s="18" t="s">
        <v>352</v>
      </c>
      <c r="B43" s="18" t="n">
        <v>4</v>
      </c>
      <c r="C43" s="18" t="s">
        <v>353</v>
      </c>
      <c r="D43" s="18" t="s">
        <v>354</v>
      </c>
      <c r="E43" s="30" t="n">
        <v>0.7281</v>
      </c>
      <c r="F43" s="31" t="n">
        <f aca="false">ROUND(24318400/33400000,4)</f>
        <v>0.7281</v>
      </c>
      <c r="G43" s="31" t="n">
        <f aca="false">F43-E43</f>
        <v>0</v>
      </c>
      <c r="H43" s="32" t="n">
        <v>6E-005</v>
      </c>
      <c r="I43" s="18" t="str">
        <f aca="false">IF(ABS(G43)&lt;=H43,"PASS","FAIL")</f>
        <v>PASS</v>
      </c>
      <c r="J43" s="18" t="s">
        <v>355</v>
      </c>
    </row>
    <row r="44" customFormat="false" ht="28.35" hidden="false" customHeight="false" outlineLevel="0" collapsed="false">
      <c r="A44" s="18" t="s">
        <v>356</v>
      </c>
      <c r="B44" s="18" t="n">
        <v>4</v>
      </c>
      <c r="C44" s="18" t="s">
        <v>357</v>
      </c>
      <c r="D44" s="18" t="s">
        <v>358</v>
      </c>
      <c r="E44" s="30" t="n">
        <v>0.7281</v>
      </c>
      <c r="F44" s="33" t="n">
        <f aca="false">Summary!E22</f>
        <v>0.7286</v>
      </c>
      <c r="G44" s="31" t="n">
        <f aca="false">F44-E44</f>
        <v>0.000500000000000056</v>
      </c>
      <c r="H44" s="32" t="n">
        <v>6E-005</v>
      </c>
      <c r="I44" s="18" t="str">
        <f aca="false">IF(ABS(G44)&lt;=H44,"PASS","FAIL")</f>
        <v>FAIL</v>
      </c>
      <c r="J44" s="18" t="s">
        <v>359</v>
      </c>
    </row>
    <row r="45" customFormat="false" ht="15" hidden="false" customHeight="false" outlineLevel="0" collapsed="false">
      <c r="A45" s="18" t="s">
        <v>360</v>
      </c>
      <c r="B45" s="18" t="n">
        <v>4</v>
      </c>
      <c r="C45" s="18" t="s">
        <v>361</v>
      </c>
      <c r="D45" s="18" t="s">
        <v>21</v>
      </c>
      <c r="E45" s="30" t="n">
        <v>0.7464</v>
      </c>
      <c r="F45" s="31" t="n">
        <f aca="false">ROUND(209/280,4)</f>
        <v>0.7464</v>
      </c>
      <c r="G45" s="31" t="n">
        <f aca="false">F45-E45</f>
        <v>0</v>
      </c>
      <c r="H45" s="32" t="n">
        <v>6E-005</v>
      </c>
      <c r="I45" s="18" t="str">
        <f aca="false">IF(ABS(G45)&lt;=H45,"PASS","FAIL")</f>
        <v>PASS</v>
      </c>
      <c r="J45" s="18"/>
    </row>
    <row r="46" customFormat="false" ht="28.35" hidden="false" customHeight="false" outlineLevel="0" collapsed="false">
      <c r="A46" s="18" t="s">
        <v>362</v>
      </c>
      <c r="B46" s="18" t="n">
        <v>4</v>
      </c>
      <c r="C46" s="18" t="s">
        <v>363</v>
      </c>
      <c r="D46" s="18" t="s">
        <v>364</v>
      </c>
      <c r="E46" s="27" t="n">
        <v>312</v>
      </c>
      <c r="F46" s="29" t="n">
        <f aca="false">209+71+0+25</f>
        <v>305</v>
      </c>
      <c r="G46" s="29" t="n">
        <f aca="false">F46-E46</f>
        <v>-7</v>
      </c>
      <c r="H46" s="26" t="n">
        <v>0.5</v>
      </c>
      <c r="I46" s="18" t="str">
        <f aca="false">IF(ABS(G46)&lt;=H46,"PASS","FAIL")</f>
        <v>FAIL</v>
      </c>
      <c r="J46" s="18" t="s">
        <v>365</v>
      </c>
    </row>
    <row r="47" customFormat="false" ht="55.2" hidden="false" customHeight="false" outlineLevel="0" collapsed="false">
      <c r="A47" s="18" t="s">
        <v>366</v>
      </c>
      <c r="B47" s="18" t="n">
        <v>4</v>
      </c>
      <c r="C47" s="18" t="s">
        <v>367</v>
      </c>
      <c r="D47" s="18" t="s">
        <v>364</v>
      </c>
      <c r="E47" s="27" t="n">
        <v>287</v>
      </c>
      <c r="F47" s="29" t="n">
        <f aca="false">280+0</f>
        <v>280</v>
      </c>
      <c r="G47" s="29" t="n">
        <f aca="false">F47-E47</f>
        <v>-7</v>
      </c>
      <c r="H47" s="26" t="n">
        <v>0.5</v>
      </c>
      <c r="I47" s="18" t="str">
        <f aca="false">IF(ABS(G47)&lt;=H47,"PASS","FAIL")</f>
        <v>FAIL</v>
      </c>
      <c r="J47" s="18" t="s">
        <v>368</v>
      </c>
    </row>
    <row r="48" customFormat="false" ht="28.35" hidden="false" customHeight="false" outlineLevel="0" collapsed="false">
      <c r="A48" s="18" t="s">
        <v>369</v>
      </c>
      <c r="B48" s="18" t="n">
        <v>4</v>
      </c>
      <c r="C48" s="18" t="s">
        <v>370</v>
      </c>
      <c r="D48" s="18" t="s">
        <v>364</v>
      </c>
      <c r="E48" s="19" t="n">
        <v>38700000</v>
      </c>
      <c r="F48" s="25" t="n">
        <f aca="false">24381400+9081600+0+4410000</f>
        <v>37873000</v>
      </c>
      <c r="G48" s="25" t="n">
        <f aca="false">F48-E48</f>
        <v>-827000</v>
      </c>
      <c r="H48" s="26" t="n">
        <v>0.5</v>
      </c>
      <c r="I48" s="18" t="str">
        <f aca="false">IF(ABS(G48)&lt;=H48,"PASS","FAIL")</f>
        <v>FAIL</v>
      </c>
      <c r="J48" s="18" t="s">
        <v>371</v>
      </c>
    </row>
    <row r="49" customFormat="false" ht="15" hidden="false" customHeight="false" outlineLevel="0" collapsed="false">
      <c r="A49" s="18" t="s">
        <v>372</v>
      </c>
      <c r="B49" s="18" t="n">
        <v>4</v>
      </c>
      <c r="C49" s="18" t="s">
        <v>373</v>
      </c>
      <c r="D49" s="18" t="s">
        <v>374</v>
      </c>
      <c r="E49" s="27" t="n">
        <v>281</v>
      </c>
      <c r="F49" s="29" t="n">
        <f aca="false">280+1</f>
        <v>281</v>
      </c>
      <c r="G49" s="29" t="n">
        <f aca="false">F49-E49</f>
        <v>0</v>
      </c>
      <c r="H49" s="26" t="n">
        <v>0.5</v>
      </c>
      <c r="I49" s="18" t="str">
        <f aca="false">IF(ABS(G49)&lt;=H49,"PASS","FAIL")</f>
        <v>PASS</v>
      </c>
      <c r="J49" s="18"/>
    </row>
    <row r="50" customFormat="false" ht="15" hidden="false" customHeight="false" outlineLevel="0" collapsed="false">
      <c r="A50" s="18" t="s">
        <v>375</v>
      </c>
      <c r="B50" s="18" t="n">
        <v>4</v>
      </c>
      <c r="C50" s="18" t="s">
        <v>376</v>
      </c>
      <c r="D50" s="18" t="s">
        <v>377</v>
      </c>
      <c r="E50" s="27" t="n">
        <v>281</v>
      </c>
      <c r="F50" s="28" t="n">
        <f aca="false">'Ballot Detail'!$E$116+241</f>
        <v>281</v>
      </c>
      <c r="G50" s="29" t="n">
        <f aca="false">F50-E50</f>
        <v>0</v>
      </c>
      <c r="H50" s="26" t="n">
        <v>0.5</v>
      </c>
      <c r="I50" s="18" t="str">
        <f aca="false">IF(ABS(G50)&lt;=H50,"PASS","FAIL")</f>
        <v>PASS</v>
      </c>
      <c r="J50" s="18" t="s">
        <v>378</v>
      </c>
    </row>
    <row r="51" customFormat="false" ht="15" hidden="false" customHeight="false" outlineLevel="0" collapsed="false">
      <c r="A51" s="18" t="s">
        <v>379</v>
      </c>
      <c r="B51" s="18" t="n">
        <v>4</v>
      </c>
      <c r="C51" s="18" t="s">
        <v>380</v>
      </c>
      <c r="D51" s="18" t="s">
        <v>381</v>
      </c>
      <c r="E51" s="19" t="n">
        <v>1740000</v>
      </c>
      <c r="F51" s="24" t="n">
        <f aca="false">'Ballot Detail'!$F$127</f>
        <v>1740000</v>
      </c>
      <c r="G51" s="25" t="n">
        <f aca="false">F51-E51</f>
        <v>0</v>
      </c>
      <c r="H51" s="26" t="n">
        <v>0.5</v>
      </c>
      <c r="I51" s="18" t="str">
        <f aca="false">IF(ABS(G51)&lt;=H51,"PASS","FAIL")</f>
        <v>PASS</v>
      </c>
      <c r="J51" s="18"/>
    </row>
    <row r="52" customFormat="false" ht="15" hidden="false" customHeight="false" outlineLevel="0" collapsed="false">
      <c r="A52" s="18" t="s">
        <v>382</v>
      </c>
      <c r="B52" s="18" t="n">
        <v>4</v>
      </c>
      <c r="C52" s="18" t="s">
        <v>383</v>
      </c>
      <c r="D52" s="18" t="s">
        <v>381</v>
      </c>
      <c r="E52" s="19" t="n">
        <v>890000</v>
      </c>
      <c r="F52" s="24" t="n">
        <f aca="false">'Ballot Detail'!$F$128</f>
        <v>890000</v>
      </c>
      <c r="G52" s="25" t="n">
        <f aca="false">F52-E52</f>
        <v>0</v>
      </c>
      <c r="H52" s="26" t="n">
        <v>0.5</v>
      </c>
      <c r="I52" s="18" t="str">
        <f aca="false">IF(ABS(G52)&lt;=H52,"PASS","FAIL")</f>
        <v>PASS</v>
      </c>
      <c r="J52" s="18"/>
    </row>
    <row r="53" customFormat="false" ht="15" hidden="false" customHeight="false" outlineLevel="0" collapsed="false">
      <c r="A53" s="18" t="s">
        <v>384</v>
      </c>
      <c r="B53" s="18" t="n">
        <v>4</v>
      </c>
      <c r="C53" s="18" t="s">
        <v>385</v>
      </c>
      <c r="D53" s="18" t="s">
        <v>386</v>
      </c>
      <c r="E53" s="19" t="n">
        <v>2630000</v>
      </c>
      <c r="F53" s="24" t="n">
        <f aca="false">'Ballot Detail'!$F$129</f>
        <v>2630000</v>
      </c>
      <c r="G53" s="25" t="n">
        <f aca="false">F53-E53</f>
        <v>0</v>
      </c>
      <c r="H53" s="26" t="n">
        <v>0.5</v>
      </c>
      <c r="I53" s="18" t="str">
        <f aca="false">IF(ABS(G53)&lt;=H53,"PASS","FAIL")</f>
        <v>PASS</v>
      </c>
      <c r="J53" s="18"/>
    </row>
    <row r="54" customFormat="false" ht="15" hidden="false" customHeight="false" outlineLevel="0" collapsed="false">
      <c r="A54" s="18" t="s">
        <v>387</v>
      </c>
      <c r="B54" s="18" t="n">
        <v>4</v>
      </c>
      <c r="C54" s="18" t="s">
        <v>388</v>
      </c>
      <c r="D54" s="18" t="s">
        <v>389</v>
      </c>
      <c r="E54" s="27" t="n">
        <v>7</v>
      </c>
      <c r="F54" s="28" t="n">
        <f aca="false">'Ballot Detail'!$E$129</f>
        <v>7</v>
      </c>
      <c r="G54" s="29" t="n">
        <f aca="false">F54-E54</f>
        <v>0</v>
      </c>
      <c r="H54" s="26" t="n">
        <v>0.5</v>
      </c>
      <c r="I54" s="18" t="str">
        <f aca="false">IF(ABS(G54)&lt;=H54,"PASS","FAIL")</f>
        <v>PASS</v>
      </c>
      <c r="J54" s="18"/>
    </row>
    <row r="55" customFormat="false" ht="28.35" hidden="false" customHeight="false" outlineLevel="0" collapsed="false">
      <c r="A55" s="18" t="s">
        <v>390</v>
      </c>
      <c r="B55" s="18" t="n">
        <v>4</v>
      </c>
      <c r="C55" s="18" t="s">
        <v>391</v>
      </c>
      <c r="D55" s="18" t="s">
        <v>392</v>
      </c>
      <c r="E55" s="19" t="n">
        <v>23998400</v>
      </c>
      <c r="F55" s="25" t="n">
        <f aca="false">24318400-320000</f>
        <v>23998400</v>
      </c>
      <c r="G55" s="25" t="n">
        <f aca="false">F55-E55</f>
        <v>0</v>
      </c>
      <c r="H55" s="26" t="n">
        <v>0.5</v>
      </c>
      <c r="I55" s="18" t="str">
        <f aca="false">IF(ABS(G55)&lt;=H55,"PASS","FAIL")</f>
        <v>PASS</v>
      </c>
      <c r="J55" s="18" t="s">
        <v>393</v>
      </c>
    </row>
    <row r="56" customFormat="false" ht="15" hidden="false" customHeight="false" outlineLevel="0" collapsed="false">
      <c r="A56" s="18" t="s">
        <v>394</v>
      </c>
      <c r="B56" s="18" t="n">
        <v>4</v>
      </c>
      <c r="C56" s="18" t="s">
        <v>395</v>
      </c>
      <c r="D56" s="18" t="s">
        <v>392</v>
      </c>
      <c r="E56" s="19" t="n">
        <v>33080000</v>
      </c>
      <c r="F56" s="25" t="n">
        <f aca="false">33400000-320000</f>
        <v>33080000</v>
      </c>
      <c r="G56" s="25" t="n">
        <f aca="false">F56-E56</f>
        <v>0</v>
      </c>
      <c r="H56" s="26" t="n">
        <v>0.5</v>
      </c>
      <c r="I56" s="18" t="str">
        <f aca="false">IF(ABS(G56)&lt;=H56,"PASS","FAIL")</f>
        <v>PASS</v>
      </c>
      <c r="J56" s="18" t="s">
        <v>393</v>
      </c>
    </row>
    <row r="57" customFormat="false" ht="28.35" hidden="false" customHeight="false" outlineLevel="0" collapsed="false">
      <c r="A57" s="18" t="s">
        <v>396</v>
      </c>
      <c r="B57" s="18" t="n">
        <v>4</v>
      </c>
      <c r="C57" s="18" t="s">
        <v>397</v>
      </c>
      <c r="D57" s="18" t="s">
        <v>392</v>
      </c>
      <c r="E57" s="30" t="n">
        <v>0.7254</v>
      </c>
      <c r="F57" s="31" t="n">
        <f aca="false">ROUND(23998400/33080000,4)</f>
        <v>0.7255</v>
      </c>
      <c r="G57" s="31" t="n">
        <f aca="false">F57-E57</f>
        <v>9.9999999999989E-005</v>
      </c>
      <c r="H57" s="32" t="n">
        <v>6E-005</v>
      </c>
      <c r="I57" s="18" t="str">
        <f aca="false">IF(ABS(G57)&lt;=H57,"PASS","FAIL")</f>
        <v>FAIL</v>
      </c>
      <c r="J57" s="18" t="s">
        <v>398</v>
      </c>
    </row>
    <row r="58" customFormat="false" ht="15" hidden="false" customHeight="false" outlineLevel="0" collapsed="false">
      <c r="A58" s="18" t="s">
        <v>399</v>
      </c>
      <c r="B58" s="18" t="n">
        <v>4</v>
      </c>
      <c r="C58" s="18" t="s">
        <v>400</v>
      </c>
      <c r="D58" s="18" t="s">
        <v>392</v>
      </c>
      <c r="E58" s="30" t="n">
        <v>0.7455</v>
      </c>
      <c r="F58" s="31" t="n">
        <f aca="false">ROUND(208/279,4)</f>
        <v>0.7455</v>
      </c>
      <c r="G58" s="31" t="n">
        <f aca="false">F58-E58</f>
        <v>0</v>
      </c>
      <c r="H58" s="32" t="n">
        <v>6E-005</v>
      </c>
      <c r="I58" s="18" t="str">
        <f aca="false">IF(ABS(G58)&lt;=H58,"PASS","FAIL")</f>
        <v>PASS</v>
      </c>
      <c r="J58" s="18"/>
    </row>
    <row r="59" customFormat="false" ht="28.35" hidden="false" customHeight="false" outlineLevel="0" collapsed="false">
      <c r="A59" s="18" t="s">
        <v>401</v>
      </c>
      <c r="B59" s="18" t="n">
        <v>4</v>
      </c>
      <c r="C59" s="18" t="s">
        <v>402</v>
      </c>
      <c r="D59" s="18" t="s">
        <v>403</v>
      </c>
      <c r="E59" s="30" t="n">
        <v>0.7254</v>
      </c>
      <c r="F59" s="31" t="n">
        <f aca="false">ROUND((24381400-320000)/(33463000-320000),4)</f>
        <v>0.726</v>
      </c>
      <c r="G59" s="31" t="n">
        <f aca="false">F59-E59</f>
        <v>0.000599999999999934</v>
      </c>
      <c r="H59" s="32" t="n">
        <v>6E-005</v>
      </c>
      <c r="I59" s="18" t="str">
        <f aca="false">IF(ABS(G59)&lt;=H59,"PASS","FAIL")</f>
        <v>FAIL</v>
      </c>
      <c r="J59" s="18" t="s">
        <v>404</v>
      </c>
    </row>
    <row r="60" customFormat="false" ht="15" hidden="false" customHeight="false" outlineLevel="0" collapsed="false">
      <c r="A60" s="18" t="s">
        <v>405</v>
      </c>
      <c r="B60" s="18" t="n">
        <v>4</v>
      </c>
      <c r="C60" s="18" t="s">
        <v>406</v>
      </c>
      <c r="D60" s="18" t="s">
        <v>407</v>
      </c>
      <c r="E60" s="30" t="n">
        <v>0.15</v>
      </c>
      <c r="F60" s="31" t="n">
        <f aca="false">ROUND(5800000/38700000,2)</f>
        <v>0.15</v>
      </c>
      <c r="G60" s="31" t="n">
        <f aca="false">F60-E60</f>
        <v>0</v>
      </c>
      <c r="H60" s="32" t="n">
        <v>0.006</v>
      </c>
      <c r="I60" s="18" t="str">
        <f aca="false">IF(ABS(G60)&lt;=H60,"PASS","FAIL")</f>
        <v>PASS</v>
      </c>
      <c r="J60" s="18"/>
    </row>
    <row r="61" customFormat="false" ht="15" hidden="false" customHeight="false" outlineLevel="0" collapsed="false">
      <c r="A61" s="18" t="s">
        <v>408</v>
      </c>
      <c r="B61" s="18" t="n">
        <v>5</v>
      </c>
      <c r="C61" s="18" t="s">
        <v>409</v>
      </c>
      <c r="D61" s="18" t="s">
        <v>410</v>
      </c>
      <c r="E61" s="19" t="n">
        <v>215000</v>
      </c>
      <c r="F61" s="24" t="n">
        <f aca="false">'Ballot Detail'!$F$118</f>
        <v>215000</v>
      </c>
      <c r="G61" s="25" t="n">
        <f aca="false">F61-E61</f>
        <v>0</v>
      </c>
      <c r="H61" s="26" t="n">
        <v>0.5</v>
      </c>
      <c r="I61" s="18" t="str">
        <f aca="false">IF(ABS(G61)&lt;=H61,"PASS","FAIL")</f>
        <v>PASS</v>
      </c>
      <c r="J61" s="18"/>
    </row>
    <row r="62" customFormat="false" ht="15" hidden="false" customHeight="false" outlineLevel="0" collapsed="false">
      <c r="A62" s="18" t="s">
        <v>411</v>
      </c>
      <c r="B62" s="18" t="n">
        <v>5</v>
      </c>
      <c r="C62" s="18" t="s">
        <v>412</v>
      </c>
      <c r="D62" s="18" t="s">
        <v>410</v>
      </c>
      <c r="E62" s="19" t="n">
        <v>1680000</v>
      </c>
      <c r="F62" s="24" t="n">
        <f aca="false">'Ballot Detail'!$F$119</f>
        <v>1680000</v>
      </c>
      <c r="G62" s="25" t="n">
        <f aca="false">F62-E62</f>
        <v>0</v>
      </c>
      <c r="H62" s="26" t="n">
        <v>0.5</v>
      </c>
      <c r="I62" s="18" t="str">
        <f aca="false">IF(ABS(G62)&lt;=H62,"PASS","FAIL")</f>
        <v>PASS</v>
      </c>
      <c r="J62" s="18"/>
    </row>
    <row r="63" customFormat="false" ht="15" hidden="false" customHeight="false" outlineLevel="0" collapsed="false">
      <c r="A63" s="18" t="s">
        <v>413</v>
      </c>
      <c r="B63" s="18" t="n">
        <v>5</v>
      </c>
      <c r="C63" s="18" t="s">
        <v>310</v>
      </c>
      <c r="D63" s="18" t="s">
        <v>410</v>
      </c>
      <c r="E63" s="27" t="n">
        <v>5</v>
      </c>
      <c r="F63" s="28" t="n">
        <f aca="false">'Ballot Detail'!$E$119</f>
        <v>5</v>
      </c>
      <c r="G63" s="29" t="n">
        <f aca="false">F63-E63</f>
        <v>0</v>
      </c>
      <c r="H63" s="26" t="n">
        <v>0.5</v>
      </c>
      <c r="I63" s="18" t="str">
        <f aca="false">IF(ABS(G63)&lt;=H63,"PASS","FAIL")</f>
        <v>PASS</v>
      </c>
      <c r="J63" s="18"/>
    </row>
    <row r="64" customFormat="false" ht="15" hidden="false" customHeight="false" outlineLevel="0" collapsed="false">
      <c r="A64" s="18" t="s">
        <v>414</v>
      </c>
      <c r="B64" s="18" t="n">
        <v>5</v>
      </c>
      <c r="C64" s="18" t="s">
        <v>415</v>
      </c>
      <c r="D64" s="18" t="s">
        <v>410</v>
      </c>
      <c r="E64" s="19" t="n">
        <v>250000</v>
      </c>
      <c r="F64" s="24" t="n">
        <f aca="false">'Ballot Detail'!$F$123</f>
        <v>250000</v>
      </c>
      <c r="G64" s="25" t="n">
        <f aca="false">F64-E64</f>
        <v>0</v>
      </c>
      <c r="H64" s="26" t="n">
        <v>0.5</v>
      </c>
      <c r="I64" s="18" t="str">
        <f aca="false">IF(ABS(G64)&lt;=H64,"PASS","FAIL")</f>
        <v>PASS</v>
      </c>
      <c r="J64" s="18"/>
    </row>
    <row r="65" customFormat="false" ht="15" hidden="false" customHeight="false" outlineLevel="0" collapsed="false">
      <c r="A65" s="18" t="s">
        <v>416</v>
      </c>
      <c r="B65" s="18" t="n">
        <v>5</v>
      </c>
      <c r="C65" s="18" t="s">
        <v>417</v>
      </c>
      <c r="D65" s="18" t="s">
        <v>418</v>
      </c>
      <c r="E65" s="19" t="n">
        <v>2145000</v>
      </c>
      <c r="F65" s="24" t="n">
        <f aca="false">'Ballot Detail'!$F$124</f>
        <v>2145000</v>
      </c>
      <c r="G65" s="25" t="n">
        <f aca="false">F65-E65</f>
        <v>0</v>
      </c>
      <c r="H65" s="26" t="n">
        <v>0.5</v>
      </c>
      <c r="I65" s="18" t="str">
        <f aca="false">IF(ABS(G65)&lt;=H65,"PASS","FAIL")</f>
        <v>PASS</v>
      </c>
      <c r="J65" s="18"/>
    </row>
    <row r="66" customFormat="false" ht="15" hidden="false" customHeight="false" outlineLevel="0" collapsed="false">
      <c r="A66" s="18" t="s">
        <v>419</v>
      </c>
      <c r="B66" s="18" t="n">
        <v>5</v>
      </c>
      <c r="C66" s="18" t="s">
        <v>420</v>
      </c>
      <c r="D66" s="18" t="s">
        <v>21</v>
      </c>
      <c r="E66" s="19" t="n">
        <v>1895000</v>
      </c>
      <c r="F66" s="25" t="n">
        <f aca="false">215000+1680000</f>
        <v>1895000</v>
      </c>
      <c r="G66" s="25" t="n">
        <f aca="false">F66-E66</f>
        <v>0</v>
      </c>
      <c r="H66" s="26" t="n">
        <v>0.5</v>
      </c>
      <c r="I66" s="18" t="str">
        <f aca="false">IF(ABS(G66)&lt;=H66,"PASS","FAIL")</f>
        <v>PASS</v>
      </c>
      <c r="J66" s="18"/>
    </row>
    <row r="67" customFormat="false" ht="15" hidden="false" customHeight="false" outlineLevel="0" collapsed="false">
      <c r="A67" s="18" t="s">
        <v>421</v>
      </c>
      <c r="B67" s="18" t="n">
        <v>5</v>
      </c>
      <c r="C67" s="18" t="s">
        <v>422</v>
      </c>
      <c r="D67" s="18" t="s">
        <v>21</v>
      </c>
      <c r="E67" s="30" t="n">
        <v>0.1667</v>
      </c>
      <c r="F67" s="31" t="n">
        <f aca="false">ROUND(1/6,4)</f>
        <v>0.1667</v>
      </c>
      <c r="G67" s="31" t="n">
        <f aca="false">F67-E67</f>
        <v>0</v>
      </c>
      <c r="H67" s="32" t="n">
        <v>6E-005</v>
      </c>
      <c r="I67" s="18" t="str">
        <f aca="false">IF(ABS(G67)&lt;=H67,"PASS","FAIL")</f>
        <v>PASS</v>
      </c>
      <c r="J67" s="18"/>
    </row>
    <row r="68" customFormat="false" ht="15" hidden="false" customHeight="false" outlineLevel="0" collapsed="false">
      <c r="A68" s="18" t="s">
        <v>423</v>
      </c>
      <c r="B68" s="18" t="n">
        <v>5</v>
      </c>
      <c r="C68" s="18" t="s">
        <v>323</v>
      </c>
      <c r="D68" s="18" t="s">
        <v>21</v>
      </c>
      <c r="E68" s="30" t="n">
        <v>0.1135</v>
      </c>
      <c r="F68" s="31" t="n">
        <f aca="false">ROUND(215000/1895000,4)</f>
        <v>0.1135</v>
      </c>
      <c r="G68" s="31" t="n">
        <f aca="false">F68-E68</f>
        <v>0</v>
      </c>
      <c r="H68" s="32" t="n">
        <v>6E-005</v>
      </c>
      <c r="I68" s="18" t="str">
        <f aca="false">IF(ABS(G68)&lt;=H68,"PASS","FAIL")</f>
        <v>PASS</v>
      </c>
      <c r="J68" s="18"/>
    </row>
    <row r="69" customFormat="false" ht="41.75" hidden="false" customHeight="false" outlineLevel="0" collapsed="false">
      <c r="A69" s="18" t="s">
        <v>424</v>
      </c>
      <c r="B69" s="18" t="s">
        <v>425</v>
      </c>
      <c r="C69" s="18" t="s">
        <v>426</v>
      </c>
      <c r="D69" s="18" t="s">
        <v>427</v>
      </c>
      <c r="E69" s="19" t="n">
        <v>412000000</v>
      </c>
      <c r="F69" s="25" t="n">
        <f aca="false">308500000+103500000</f>
        <v>412000000</v>
      </c>
      <c r="G69" s="25" t="n">
        <f aca="false">F69-E69</f>
        <v>0</v>
      </c>
      <c r="H69" s="26" t="n">
        <v>0.5</v>
      </c>
      <c r="I69" s="18" t="str">
        <f aca="false">IF(ABS(G69)&lt;=H69,"PASS","FAIL")</f>
        <v>PASS</v>
      </c>
      <c r="J69" s="18" t="s">
        <v>428</v>
      </c>
    </row>
    <row r="70" customFormat="false" ht="28.35" hidden="false" customHeight="false" outlineLevel="0" collapsed="false">
      <c r="A70" s="18" t="s">
        <v>429</v>
      </c>
      <c r="B70" s="18" t="s">
        <v>425</v>
      </c>
      <c r="C70" s="18" t="s">
        <v>430</v>
      </c>
      <c r="D70" s="18" t="s">
        <v>431</v>
      </c>
      <c r="E70" s="34" t="s">
        <v>432</v>
      </c>
      <c r="F70" s="18" t="s">
        <v>433</v>
      </c>
      <c r="G70" s="18" t="s">
        <v>434</v>
      </c>
      <c r="H70" s="18" t="s">
        <v>434</v>
      </c>
      <c r="I70" s="18" t="s">
        <v>435</v>
      </c>
      <c r="J70" s="18" t="s">
        <v>436</v>
      </c>
    </row>
    <row r="72" customFormat="false" ht="15" hidden="false" customHeight="false" outlineLevel="0" collapsed="false">
      <c r="C72" s="20" t="s">
        <v>437</v>
      </c>
      <c r="I72" s="23" t="n">
        <f aca="false">COUNTA(I5:I70)</f>
        <v>66</v>
      </c>
    </row>
    <row r="73" customFormat="false" ht="15" hidden="false" customHeight="false" outlineLevel="0" collapsed="false">
      <c r="C73" s="20" t="s">
        <v>435</v>
      </c>
      <c r="I73" s="23" t="n">
        <f aca="false">COUNTIF(I5:I70,"PASS")</f>
        <v>58</v>
      </c>
    </row>
    <row r="74" customFormat="false" ht="15" hidden="false" customHeight="false" outlineLevel="0" collapsed="false">
      <c r="C74" s="20" t="s">
        <v>438</v>
      </c>
      <c r="I74" s="23" t="n">
        <f aca="false">COUNTIF(I5:I70,"FAIL")</f>
        <v>8</v>
      </c>
    </row>
  </sheetData>
  <mergeCells count="1">
    <mergeCell ref="A2:J2"/>
  </mergeCells>
  <conditionalFormatting sqref="I5:I70">
    <cfRule type="expression" priority="2" aboveAverage="0" equalAverage="0" bottom="0" percent="0" rank="0" text="" dxfId="0">
      <formula>ISNUMBER(SEARCH("FAIL",I5))</formula>
    </cfRule>
    <cfRule type="expression" priority="3" aboveAverage="0" equalAverage="0" bottom="0" percent="0" rank="0" text="" dxfId="0">
      <formula>ISNUMBER(SEARCH("DISCREP",I5))</formula>
    </cfRule>
    <cfRule type="expression" priority="4" aboveAverage="0" equalAverage="0" bottom="0" percent="0" rank="0" text="" dxfId="1">
      <formula>ISNUMBER(SEARCH("NOT MET",I5))</formula>
    </cfRule>
    <cfRule type="expression" priority="5" aboveAverage="0" equalAverage="0" bottom="0" percent="0" rank="0" text="" dxfId="1">
      <formula>ISNUMBER(SEARCH("REJECTS",I5))</formula>
    </cfRule>
    <cfRule type="expression" priority="6" aboveAverage="0" equalAverage="0" bottom="0" percent="0" rank="0" text="" dxfId="2">
      <formula>ISNUMBER(SEARCH("PASS",I5))</formula>
    </cfRule>
    <cfRule type="expression" priority="7" aboveAverage="0" equalAverage="0" bottom="0" percent="0" rank="0" text="" dxfId="2">
      <formula>ISNUMBER(SEARCH("TIES",I5))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7"/>
    <col collapsed="false" customWidth="true" hidden="false" outlineLevel="0" max="4" min="4" style="0" width="30"/>
    <col collapsed="false" customWidth="true" hidden="false" outlineLevel="0" max="5" min="5" style="0" width="10"/>
    <col collapsed="false" customWidth="true" hidden="false" outlineLevel="0" max="6" min="6" style="0" width="13"/>
    <col collapsed="false" customWidth="true" hidden="false" outlineLevel="0" max="7" min="7" style="0" width="20"/>
    <col collapsed="false" customWidth="true" hidden="false" outlineLevel="0" max="8" min="8" style="0" width="26"/>
    <col collapsed="false" customWidth="true" hidden="false" outlineLevel="0" max="9" min="9" style="0" width="28"/>
    <col collapsed="false" customWidth="true" hidden="false" outlineLevel="0" max="10" min="10" style="0" width="60"/>
    <col collapsed="false" customWidth="true" hidden="false" outlineLevel="0" max="11" min="11" style="0" width="38"/>
    <col collapsed="false" customWidth="true" hidden="false" outlineLevel="0" max="12" min="12" style="0" width="14"/>
    <col collapsed="false" customWidth="true" hidden="false" outlineLevel="0" max="13" min="13" style="0" width="10"/>
    <col collapsed="false" customWidth="true" hidden="false" outlineLevel="0" max="14" min="14" style="0" width="36"/>
    <col collapsed="false" customWidth="true" hidden="false" outlineLevel="0" max="15" min="15" style="0" width="28"/>
  </cols>
  <sheetData>
    <row r="1" customFormat="false" ht="17.35" hidden="false" customHeight="false" outlineLevel="0" collapsed="false">
      <c r="A1" s="1" t="s">
        <v>439</v>
      </c>
    </row>
    <row r="3" customFormat="false" ht="41.75" hidden="false" customHeight="false" outlineLevel="0" collapsed="false">
      <c r="A3" s="3" t="s">
        <v>440</v>
      </c>
      <c r="B3" s="3" t="s">
        <v>441</v>
      </c>
      <c r="C3" s="3" t="s">
        <v>99</v>
      </c>
      <c r="D3" s="3" t="s">
        <v>442</v>
      </c>
      <c r="E3" s="3" t="s">
        <v>102</v>
      </c>
      <c r="F3" s="3" t="s">
        <v>241</v>
      </c>
      <c r="G3" s="3" t="s">
        <v>443</v>
      </c>
      <c r="H3" s="3" t="s">
        <v>444</v>
      </c>
      <c r="I3" s="3" t="s">
        <v>445</v>
      </c>
      <c r="J3" s="3" t="s">
        <v>446</v>
      </c>
      <c r="K3" s="3" t="s">
        <v>447</v>
      </c>
      <c r="L3" s="3" t="s">
        <v>448</v>
      </c>
      <c r="M3" s="3" t="s">
        <v>449</v>
      </c>
      <c r="N3" s="3" t="s">
        <v>450</v>
      </c>
      <c r="O3" s="3" t="s">
        <v>451</v>
      </c>
    </row>
    <row r="4" customFormat="false" ht="15" hidden="false" customHeight="false" outlineLevel="0" collapsed="false">
      <c r="A4" s="35" t="s">
        <v>452</v>
      </c>
      <c r="B4" s="36"/>
      <c r="C4" s="36"/>
      <c r="D4" s="36"/>
      <c r="E4" s="36"/>
      <c r="F4" s="36"/>
      <c r="G4" s="36"/>
      <c r="H4" s="36"/>
      <c r="I4" s="36"/>
      <c r="J4" s="36"/>
      <c r="K4" s="36"/>
      <c r="L4" s="36"/>
      <c r="M4" s="36"/>
      <c r="N4" s="36"/>
      <c r="O4" s="36"/>
    </row>
    <row r="5" customFormat="false" ht="68.65" hidden="false" customHeight="false" outlineLevel="0" collapsed="false">
      <c r="A5" s="18" t="s">
        <v>453</v>
      </c>
      <c r="B5" s="18" t="s">
        <v>454</v>
      </c>
      <c r="C5" s="18" t="n">
        <v>2</v>
      </c>
      <c r="D5" s="18" t="s">
        <v>119</v>
      </c>
      <c r="E5" s="18" t="n">
        <v>12</v>
      </c>
      <c r="F5" s="19" t="n">
        <v>11300000</v>
      </c>
      <c r="G5" s="18" t="s">
        <v>125</v>
      </c>
      <c r="H5" s="18" t="s">
        <v>455</v>
      </c>
      <c r="I5" s="18" t="s">
        <v>456</v>
      </c>
      <c r="J5" s="18" t="s">
        <v>457</v>
      </c>
      <c r="K5" s="18" t="s">
        <v>458</v>
      </c>
      <c r="L5" s="18" t="s">
        <v>114</v>
      </c>
      <c r="M5" s="18" t="s">
        <v>459</v>
      </c>
      <c r="N5" s="18" t="s">
        <v>460</v>
      </c>
      <c r="O5" s="18" t="s">
        <v>461</v>
      </c>
    </row>
    <row r="6" customFormat="false" ht="55.2" hidden="false" customHeight="false" outlineLevel="0" collapsed="false">
      <c r="A6" s="18" t="s">
        <v>462</v>
      </c>
      <c r="B6" s="18" t="s">
        <v>463</v>
      </c>
      <c r="C6" s="18" t="n">
        <v>3</v>
      </c>
      <c r="D6" s="18" t="s">
        <v>147</v>
      </c>
      <c r="E6" s="18" t="n">
        <v>30</v>
      </c>
      <c r="F6" s="19" t="n">
        <v>6200000</v>
      </c>
      <c r="G6" s="18" t="s">
        <v>113</v>
      </c>
      <c r="H6" s="18" t="s">
        <v>464</v>
      </c>
      <c r="I6" s="18" t="s">
        <v>465</v>
      </c>
      <c r="J6" s="18" t="s">
        <v>466</v>
      </c>
      <c r="K6" s="18" t="s">
        <v>467</v>
      </c>
      <c r="L6" s="18" t="s">
        <v>114</v>
      </c>
      <c r="M6" s="18" t="s">
        <v>459</v>
      </c>
      <c r="N6" s="18" t="s">
        <v>468</v>
      </c>
      <c r="O6" s="18" t="s">
        <v>469</v>
      </c>
    </row>
    <row r="7" customFormat="false" ht="55.2" hidden="false" customHeight="false" outlineLevel="0" collapsed="false">
      <c r="A7" s="18" t="s">
        <v>470</v>
      </c>
      <c r="B7" s="18" t="s">
        <v>471</v>
      </c>
      <c r="C7" s="18" t="n">
        <v>4</v>
      </c>
      <c r="D7" s="18" t="s">
        <v>190</v>
      </c>
      <c r="E7" s="18" t="n">
        <v>147</v>
      </c>
      <c r="F7" s="19" t="n">
        <v>412000</v>
      </c>
      <c r="G7" s="18" t="s">
        <v>472</v>
      </c>
      <c r="H7" s="18" t="s">
        <v>473</v>
      </c>
      <c r="I7" s="18" t="s">
        <v>474</v>
      </c>
      <c r="J7" s="18" t="s">
        <v>475</v>
      </c>
      <c r="K7" s="18" t="s">
        <v>476</v>
      </c>
      <c r="L7" s="18" t="s">
        <v>114</v>
      </c>
      <c r="M7" s="18" t="s">
        <v>459</v>
      </c>
      <c r="N7" s="18" t="s">
        <v>477</v>
      </c>
      <c r="O7" s="18" t="s">
        <v>478</v>
      </c>
    </row>
    <row r="8" customFormat="false" ht="95.5" hidden="false" customHeight="false" outlineLevel="0" collapsed="false">
      <c r="A8" s="18" t="s">
        <v>479</v>
      </c>
      <c r="B8" s="18" t="s">
        <v>480</v>
      </c>
      <c r="C8" s="18" t="n">
        <v>2</v>
      </c>
      <c r="D8" s="18" t="s">
        <v>116</v>
      </c>
      <c r="E8" s="18" t="n">
        <v>8</v>
      </c>
      <c r="F8" s="19" t="n">
        <v>15600000</v>
      </c>
      <c r="G8" s="18" t="s">
        <v>481</v>
      </c>
      <c r="H8" s="18" t="s">
        <v>482</v>
      </c>
      <c r="I8" s="18" t="s">
        <v>483</v>
      </c>
      <c r="J8" s="18" t="s">
        <v>484</v>
      </c>
      <c r="K8" s="18" t="s">
        <v>485</v>
      </c>
      <c r="L8" s="18" t="s">
        <v>114</v>
      </c>
      <c r="M8" s="18" t="s">
        <v>486</v>
      </c>
      <c r="N8" s="18" t="s">
        <v>487</v>
      </c>
      <c r="O8" s="18" t="s">
        <v>488</v>
      </c>
    </row>
    <row r="9" customFormat="false" ht="68.65" hidden="false" customHeight="false" outlineLevel="0" collapsed="false">
      <c r="A9" s="18" t="s">
        <v>489</v>
      </c>
      <c r="B9" s="18" t="s">
        <v>490</v>
      </c>
      <c r="C9" s="18" t="n">
        <v>4</v>
      </c>
      <c r="D9" s="18" t="s">
        <v>491</v>
      </c>
      <c r="E9" s="18" t="s">
        <v>492</v>
      </c>
      <c r="F9" s="19" t="n">
        <v>2630000</v>
      </c>
      <c r="G9" s="18" t="s">
        <v>493</v>
      </c>
      <c r="H9" s="18" t="s">
        <v>494</v>
      </c>
      <c r="I9" s="18" t="s">
        <v>495</v>
      </c>
      <c r="J9" s="18" t="s">
        <v>496</v>
      </c>
      <c r="K9" s="18" t="s">
        <v>497</v>
      </c>
      <c r="L9" s="18" t="s">
        <v>114</v>
      </c>
      <c r="M9" s="18" t="s">
        <v>486</v>
      </c>
      <c r="N9" s="18" t="s">
        <v>498</v>
      </c>
      <c r="O9" s="18" t="s">
        <v>499</v>
      </c>
    </row>
    <row r="10" customFormat="false" ht="108.95" hidden="false" customHeight="false" outlineLevel="0" collapsed="false">
      <c r="A10" s="18" t="s">
        <v>500</v>
      </c>
      <c r="B10" s="18" t="s">
        <v>501</v>
      </c>
      <c r="C10" s="18" t="n">
        <v>4</v>
      </c>
      <c r="D10" s="18" t="s">
        <v>502</v>
      </c>
      <c r="E10" s="18" t="s">
        <v>503</v>
      </c>
      <c r="F10" s="19" t="n">
        <v>320000</v>
      </c>
      <c r="G10" s="18" t="s">
        <v>504</v>
      </c>
      <c r="H10" s="18" t="s">
        <v>505</v>
      </c>
      <c r="I10" s="18" t="s">
        <v>506</v>
      </c>
      <c r="J10" s="18" t="s">
        <v>507</v>
      </c>
      <c r="K10" s="18" t="s">
        <v>508</v>
      </c>
      <c r="L10" s="18" t="s">
        <v>509</v>
      </c>
      <c r="M10" s="18" t="s">
        <v>510</v>
      </c>
      <c r="N10" s="18" t="s">
        <v>511</v>
      </c>
      <c r="O10" s="18" t="s">
        <v>512</v>
      </c>
    </row>
    <row r="11" customFormat="false" ht="68.65" hidden="false" customHeight="false" outlineLevel="0" collapsed="false">
      <c r="A11" s="18" t="s">
        <v>513</v>
      </c>
      <c r="B11" s="18" t="s">
        <v>514</v>
      </c>
      <c r="C11" s="18" t="n">
        <v>4</v>
      </c>
      <c r="D11" s="18" t="s">
        <v>515</v>
      </c>
      <c r="E11" s="18" t="s">
        <v>516</v>
      </c>
      <c r="F11" s="19" t="n">
        <v>827000</v>
      </c>
      <c r="G11" s="18" t="s">
        <v>516</v>
      </c>
      <c r="H11" s="18" t="s">
        <v>517</v>
      </c>
      <c r="I11" s="18" t="s">
        <v>518</v>
      </c>
      <c r="J11" s="18" t="s">
        <v>519</v>
      </c>
      <c r="K11" s="18" t="s">
        <v>520</v>
      </c>
      <c r="L11" s="18" t="s">
        <v>114</v>
      </c>
      <c r="M11" s="18" t="s">
        <v>521</v>
      </c>
      <c r="N11" s="18" t="s">
        <v>522</v>
      </c>
      <c r="O11" s="18" t="s">
        <v>523</v>
      </c>
    </row>
    <row r="12" customFormat="false" ht="41.75" hidden="false" customHeight="false" outlineLevel="0" collapsed="false">
      <c r="A12" s="18" t="s">
        <v>524</v>
      </c>
      <c r="B12" s="18" t="s">
        <v>525</v>
      </c>
      <c r="C12" s="18" t="n">
        <v>4</v>
      </c>
      <c r="D12" s="18" t="s">
        <v>526</v>
      </c>
      <c r="E12" s="18" t="s">
        <v>527</v>
      </c>
      <c r="F12" s="19" t="n">
        <v>63000</v>
      </c>
      <c r="G12" s="18" t="s">
        <v>527</v>
      </c>
      <c r="H12" s="18" t="s">
        <v>528</v>
      </c>
      <c r="I12" s="18" t="s">
        <v>529</v>
      </c>
      <c r="J12" s="18" t="s">
        <v>530</v>
      </c>
      <c r="K12" s="18" t="s">
        <v>531</v>
      </c>
      <c r="L12" s="18" t="s">
        <v>114</v>
      </c>
      <c r="M12" s="18" t="s">
        <v>486</v>
      </c>
      <c r="N12" s="18" t="s">
        <v>532</v>
      </c>
      <c r="O12" s="18" t="s">
        <v>533</v>
      </c>
    </row>
    <row r="13" customFormat="false" ht="41.75" hidden="false" customHeight="false" outlineLevel="0" collapsed="false">
      <c r="A13" s="18" t="s">
        <v>534</v>
      </c>
      <c r="B13" s="18" t="s">
        <v>535</v>
      </c>
      <c r="C13" s="18" t="n">
        <v>4</v>
      </c>
      <c r="D13" s="18" t="s">
        <v>536</v>
      </c>
      <c r="E13" s="18" t="s">
        <v>527</v>
      </c>
      <c r="F13" s="18"/>
      <c r="G13" s="18" t="s">
        <v>527</v>
      </c>
      <c r="H13" s="18" t="s">
        <v>537</v>
      </c>
      <c r="I13" s="18" t="s">
        <v>538</v>
      </c>
      <c r="J13" s="18" t="s">
        <v>539</v>
      </c>
      <c r="K13" s="18" t="s">
        <v>434</v>
      </c>
      <c r="L13" s="18" t="s">
        <v>540</v>
      </c>
      <c r="M13" s="18" t="s">
        <v>486</v>
      </c>
      <c r="N13" s="18" t="s">
        <v>541</v>
      </c>
      <c r="O13" s="18" t="s">
        <v>542</v>
      </c>
    </row>
    <row r="15" customFormat="false" ht="15" hidden="false" customHeight="false" outlineLevel="0" collapsed="false">
      <c r="A15" s="35" t="s">
        <v>543</v>
      </c>
      <c r="B15" s="36"/>
      <c r="C15" s="36"/>
      <c r="D15" s="36"/>
      <c r="E15" s="36"/>
      <c r="F15" s="36"/>
      <c r="G15" s="36"/>
      <c r="H15" s="36"/>
      <c r="I15" s="36"/>
      <c r="J15" s="36"/>
      <c r="K15" s="36"/>
      <c r="L15" s="36"/>
      <c r="M15" s="36"/>
      <c r="N15" s="36"/>
      <c r="O15" s="36"/>
    </row>
    <row r="16" customFormat="false" ht="55.2" hidden="false" customHeight="false" outlineLevel="0" collapsed="false">
      <c r="A16" s="18" t="s">
        <v>544</v>
      </c>
      <c r="B16" s="18" t="s">
        <v>545</v>
      </c>
      <c r="C16" s="18" t="s">
        <v>425</v>
      </c>
      <c r="D16" s="18" t="s">
        <v>546</v>
      </c>
      <c r="E16" s="18" t="s">
        <v>527</v>
      </c>
      <c r="F16" s="18"/>
      <c r="G16" s="18" t="s">
        <v>527</v>
      </c>
      <c r="H16" s="18" t="s">
        <v>527</v>
      </c>
      <c r="I16" s="18" t="s">
        <v>527</v>
      </c>
      <c r="J16" s="18" t="s">
        <v>547</v>
      </c>
      <c r="K16" s="18" t="s">
        <v>527</v>
      </c>
      <c r="L16" s="18" t="s">
        <v>114</v>
      </c>
      <c r="M16" s="18" t="s">
        <v>459</v>
      </c>
      <c r="N16" s="18" t="s">
        <v>548</v>
      </c>
      <c r="O16" s="18" t="s">
        <v>549</v>
      </c>
    </row>
    <row r="17" customFormat="false" ht="28.35" hidden="false" customHeight="false" outlineLevel="0" collapsed="false">
      <c r="A17" s="18" t="s">
        <v>550</v>
      </c>
      <c r="B17" s="18" t="s">
        <v>545</v>
      </c>
      <c r="C17" s="18" t="n">
        <v>2</v>
      </c>
      <c r="D17" s="18" t="s">
        <v>551</v>
      </c>
      <c r="E17" s="18" t="s">
        <v>527</v>
      </c>
      <c r="F17" s="18"/>
      <c r="G17" s="18" t="s">
        <v>527</v>
      </c>
      <c r="H17" s="18" t="s">
        <v>527</v>
      </c>
      <c r="I17" s="18" t="s">
        <v>527</v>
      </c>
      <c r="J17" s="18" t="s">
        <v>552</v>
      </c>
      <c r="K17" s="18" t="s">
        <v>527</v>
      </c>
      <c r="L17" s="18" t="s">
        <v>114</v>
      </c>
      <c r="M17" s="18" t="s">
        <v>459</v>
      </c>
      <c r="N17" s="18" t="s">
        <v>553</v>
      </c>
      <c r="O17" s="18" t="s">
        <v>554</v>
      </c>
    </row>
    <row r="18" customFormat="false" ht="28.35" hidden="false" customHeight="false" outlineLevel="0" collapsed="false">
      <c r="A18" s="18" t="s">
        <v>555</v>
      </c>
      <c r="B18" s="18" t="s">
        <v>545</v>
      </c>
      <c r="C18" s="18" t="n">
        <v>2</v>
      </c>
      <c r="D18" s="18" t="s">
        <v>556</v>
      </c>
      <c r="E18" s="18" t="s">
        <v>527</v>
      </c>
      <c r="F18" s="18"/>
      <c r="G18" s="18" t="s">
        <v>527</v>
      </c>
      <c r="H18" s="18" t="s">
        <v>527</v>
      </c>
      <c r="I18" s="18" t="s">
        <v>527</v>
      </c>
      <c r="J18" s="18" t="s">
        <v>557</v>
      </c>
      <c r="K18" s="18" t="s">
        <v>527</v>
      </c>
      <c r="L18" s="18" t="s">
        <v>114</v>
      </c>
      <c r="M18" s="18" t="s">
        <v>459</v>
      </c>
      <c r="N18" s="18" t="s">
        <v>558</v>
      </c>
      <c r="O18" s="18" t="s">
        <v>559</v>
      </c>
    </row>
    <row r="19" customFormat="false" ht="55.2" hidden="false" customHeight="false" outlineLevel="0" collapsed="false">
      <c r="A19" s="18" t="s">
        <v>560</v>
      </c>
      <c r="B19" s="18" t="s">
        <v>545</v>
      </c>
      <c r="C19" s="18" t="s">
        <v>425</v>
      </c>
      <c r="D19" s="18" t="s">
        <v>561</v>
      </c>
      <c r="E19" s="18" t="s">
        <v>527</v>
      </c>
      <c r="F19" s="18"/>
      <c r="G19" s="18" t="s">
        <v>527</v>
      </c>
      <c r="H19" s="18" t="s">
        <v>527</v>
      </c>
      <c r="I19" s="18" t="s">
        <v>527</v>
      </c>
      <c r="J19" s="18" t="s">
        <v>562</v>
      </c>
      <c r="K19" s="18" t="s">
        <v>527</v>
      </c>
      <c r="L19" s="18" t="s">
        <v>114</v>
      </c>
      <c r="M19" s="18" t="s">
        <v>459</v>
      </c>
      <c r="N19" s="18" t="s">
        <v>563</v>
      </c>
      <c r="O19" s="18" t="s">
        <v>564</v>
      </c>
    </row>
    <row r="20" customFormat="false" ht="41.75" hidden="false" customHeight="false" outlineLevel="0" collapsed="false">
      <c r="A20" s="18" t="s">
        <v>565</v>
      </c>
      <c r="B20" s="18" t="s">
        <v>566</v>
      </c>
      <c r="C20" s="18" t="s">
        <v>567</v>
      </c>
      <c r="D20" s="18" t="s">
        <v>568</v>
      </c>
      <c r="E20" s="18" t="s">
        <v>527</v>
      </c>
      <c r="F20" s="18"/>
      <c r="G20" s="18" t="s">
        <v>527</v>
      </c>
      <c r="H20" s="18" t="s">
        <v>527</v>
      </c>
      <c r="I20" s="18" t="s">
        <v>527</v>
      </c>
      <c r="J20" s="18" t="s">
        <v>569</v>
      </c>
      <c r="K20" s="18" t="s">
        <v>527</v>
      </c>
      <c r="L20" s="18" t="s">
        <v>114</v>
      </c>
      <c r="M20" s="18" t="s">
        <v>459</v>
      </c>
      <c r="N20" s="18" t="s">
        <v>570</v>
      </c>
      <c r="O20" s="18" t="s">
        <v>571</v>
      </c>
    </row>
    <row r="21" customFormat="false" ht="55.2" hidden="false" customHeight="false" outlineLevel="0" collapsed="false">
      <c r="A21" s="18" t="s">
        <v>572</v>
      </c>
      <c r="B21" s="18" t="s">
        <v>545</v>
      </c>
      <c r="C21" s="18" t="n">
        <v>4</v>
      </c>
      <c r="D21" s="18" t="s">
        <v>573</v>
      </c>
      <c r="E21" s="18" t="s">
        <v>527</v>
      </c>
      <c r="F21" s="18"/>
      <c r="G21" s="18" t="s">
        <v>527</v>
      </c>
      <c r="H21" s="18" t="s">
        <v>527</v>
      </c>
      <c r="I21" s="18" t="s">
        <v>527</v>
      </c>
      <c r="J21" s="18" t="s">
        <v>574</v>
      </c>
      <c r="K21" s="18" t="s">
        <v>527</v>
      </c>
      <c r="L21" s="18" t="s">
        <v>114</v>
      </c>
      <c r="M21" s="18" t="s">
        <v>459</v>
      </c>
      <c r="N21" s="18" t="s">
        <v>575</v>
      </c>
      <c r="O21" s="18" t="s">
        <v>576</v>
      </c>
    </row>
    <row r="22" customFormat="false" ht="41.75" hidden="false" customHeight="false" outlineLevel="0" collapsed="false">
      <c r="A22" s="18" t="s">
        <v>577</v>
      </c>
      <c r="B22" s="18" t="s">
        <v>578</v>
      </c>
      <c r="C22" s="18" t="s">
        <v>425</v>
      </c>
      <c r="D22" s="18" t="s">
        <v>579</v>
      </c>
      <c r="E22" s="18" t="s">
        <v>527</v>
      </c>
      <c r="F22" s="18"/>
      <c r="G22" s="18" t="s">
        <v>527</v>
      </c>
      <c r="H22" s="18" t="s">
        <v>527</v>
      </c>
      <c r="I22" s="18" t="s">
        <v>527</v>
      </c>
      <c r="J22" s="18" t="s">
        <v>580</v>
      </c>
      <c r="K22" s="18" t="s">
        <v>527</v>
      </c>
      <c r="L22" s="18" t="s">
        <v>114</v>
      </c>
      <c r="M22" s="18" t="s">
        <v>459</v>
      </c>
      <c r="N22" s="18" t="s">
        <v>581</v>
      </c>
      <c r="O22" s="18" t="s">
        <v>427</v>
      </c>
    </row>
    <row r="23" customFormat="false" ht="55.2" hidden="false" customHeight="false" outlineLevel="0" collapsed="false">
      <c r="A23" s="18" t="s">
        <v>582</v>
      </c>
      <c r="B23" s="18" t="s">
        <v>583</v>
      </c>
      <c r="C23" s="18" t="n">
        <v>3</v>
      </c>
      <c r="D23" s="18" t="s">
        <v>584</v>
      </c>
      <c r="E23" s="18" t="s">
        <v>527</v>
      </c>
      <c r="F23" s="18"/>
      <c r="G23" s="18" t="s">
        <v>527</v>
      </c>
      <c r="H23" s="18" t="s">
        <v>527</v>
      </c>
      <c r="I23" s="18" t="s">
        <v>585</v>
      </c>
      <c r="J23" s="18" t="s">
        <v>586</v>
      </c>
      <c r="K23" s="18" t="s">
        <v>527</v>
      </c>
      <c r="L23" s="18" t="s">
        <v>587</v>
      </c>
      <c r="M23" s="18" t="s">
        <v>486</v>
      </c>
      <c r="N23" s="18" t="s">
        <v>588</v>
      </c>
      <c r="O23" s="18" t="s">
        <v>589</v>
      </c>
    </row>
    <row r="24" customFormat="false" ht="28.35" hidden="false" customHeight="false" outlineLevel="0" collapsed="false">
      <c r="A24" s="18" t="s">
        <v>590</v>
      </c>
      <c r="B24" s="18" t="s">
        <v>591</v>
      </c>
      <c r="C24" s="18" t="n">
        <v>5</v>
      </c>
      <c r="D24" s="18" t="s">
        <v>592</v>
      </c>
      <c r="E24" s="18" t="s">
        <v>527</v>
      </c>
      <c r="F24" s="18"/>
      <c r="G24" s="18" t="s">
        <v>527</v>
      </c>
      <c r="H24" s="18" t="s">
        <v>527</v>
      </c>
      <c r="I24" s="18" t="s">
        <v>593</v>
      </c>
      <c r="J24" s="18" t="s">
        <v>594</v>
      </c>
      <c r="K24" s="18" t="s">
        <v>527</v>
      </c>
      <c r="L24" s="18" t="s">
        <v>595</v>
      </c>
      <c r="M24" s="18" t="s">
        <v>459</v>
      </c>
      <c r="N24" s="18" t="s">
        <v>596</v>
      </c>
      <c r="O24" s="18" t="s">
        <v>407</v>
      </c>
    </row>
    <row r="25" customFormat="false" ht="55.2" hidden="false" customHeight="false" outlineLevel="0" collapsed="false">
      <c r="A25" s="18" t="s">
        <v>597</v>
      </c>
      <c r="B25" s="18" t="s">
        <v>598</v>
      </c>
      <c r="C25" s="18" t="n">
        <v>4</v>
      </c>
      <c r="D25" s="18" t="s">
        <v>599</v>
      </c>
      <c r="E25" s="18" t="s">
        <v>527</v>
      </c>
      <c r="F25" s="18"/>
      <c r="G25" s="18" t="s">
        <v>527</v>
      </c>
      <c r="H25" s="18" t="s">
        <v>527</v>
      </c>
      <c r="I25" s="18" t="s">
        <v>527</v>
      </c>
      <c r="J25" s="18" t="s">
        <v>600</v>
      </c>
      <c r="K25" s="18" t="s">
        <v>527</v>
      </c>
      <c r="L25" s="18" t="s">
        <v>114</v>
      </c>
      <c r="M25" s="18" t="s">
        <v>459</v>
      </c>
      <c r="N25" s="18" t="s">
        <v>601</v>
      </c>
      <c r="O25" s="18" t="s">
        <v>602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3" min="3" style="0" width="52"/>
    <col collapsed="false" customWidth="true" hidden="false" outlineLevel="0" max="4" min="4" style="0" width="14"/>
    <col collapsed="false" customWidth="true" hidden="false" outlineLevel="0" max="5" min="5" style="0" width="16"/>
    <col collapsed="false" customWidth="true" hidden="false" outlineLevel="0" max="6" min="6" style="0" width="10"/>
    <col collapsed="false" customWidth="true" hidden="false" outlineLevel="0" max="7" min="7" style="0" width="16"/>
    <col collapsed="false" customWidth="true" hidden="false" outlineLevel="0" max="8" min="8" style="0" width="8"/>
    <col collapsed="false" customWidth="true" hidden="false" outlineLevel="0" max="9" min="9" style="0" width="13"/>
    <col collapsed="false" customWidth="true" hidden="false" outlineLevel="0" max="10" min="10" style="0" width="8"/>
    <col collapsed="false" customWidth="true" hidden="false" outlineLevel="0" max="11" min="11" style="0" width="13"/>
    <col collapsed="false" customWidth="true" hidden="false" outlineLevel="0" max="12" min="12" style="0" width="8"/>
    <col collapsed="false" customWidth="true" hidden="false" outlineLevel="0" max="13" min="13" style="0" width="16"/>
    <col collapsed="false" customWidth="true" hidden="false" outlineLevel="0" max="14" min="14" style="0" width="8"/>
    <col collapsed="false" customWidth="true" hidden="false" outlineLevel="0" max="15" min="15" style="0" width="16"/>
    <col collapsed="false" customWidth="true" hidden="false" outlineLevel="0" max="16" min="16" style="0" width="9"/>
    <col collapsed="false" customWidth="true" hidden="false" outlineLevel="0" max="17" min="17" style="0" width="16"/>
    <col collapsed="false" customWidth="true" hidden="false" outlineLevel="0" max="19" min="18" style="0" width="10"/>
    <col collapsed="false" customWidth="true" hidden="false" outlineLevel="0" max="22" min="20" style="0" width="11"/>
    <col collapsed="false" customWidth="true" hidden="false" outlineLevel="0" max="23" min="23" style="0" width="15"/>
    <col collapsed="false" customWidth="true" hidden="false" outlineLevel="0" max="24" min="24" style="0" width="36"/>
  </cols>
  <sheetData>
    <row r="1" customFormat="false" ht="17.35" hidden="false" customHeight="false" outlineLevel="0" collapsed="false">
      <c r="A1" s="1" t="s">
        <v>603</v>
      </c>
    </row>
    <row r="2" customFormat="false" ht="15" hidden="false" customHeight="true" outlineLevel="0" collapsed="false">
      <c r="A2" s="2" t="s">
        <v>604</v>
      </c>
      <c r="B2" s="2"/>
      <c r="C2" s="2"/>
      <c r="D2" s="2"/>
      <c r="E2" s="2"/>
      <c r="F2" s="2"/>
      <c r="G2" s="2"/>
      <c r="H2" s="2"/>
      <c r="I2" s="2"/>
      <c r="J2" s="2"/>
      <c r="K2" s="2"/>
      <c r="L2" s="2"/>
      <c r="M2" s="2"/>
      <c r="N2" s="2"/>
      <c r="O2" s="2"/>
      <c r="P2" s="2"/>
      <c r="Q2" s="2"/>
      <c r="R2" s="2"/>
      <c r="S2" s="2"/>
      <c r="T2" s="2"/>
      <c r="U2" s="2"/>
      <c r="V2" s="2"/>
      <c r="W2" s="2"/>
      <c r="X2" s="2"/>
    </row>
    <row r="4" customFormat="false" ht="28.35" hidden="false" customHeight="false" outlineLevel="0" collapsed="false">
      <c r="A4" s="3" t="s">
        <v>605</v>
      </c>
      <c r="B4" s="3" t="s">
        <v>99</v>
      </c>
      <c r="C4" s="3" t="s">
        <v>606</v>
      </c>
      <c r="D4" s="3" t="s">
        <v>607</v>
      </c>
      <c r="E4" s="3" t="s">
        <v>608</v>
      </c>
      <c r="F4" s="3" t="s">
        <v>609</v>
      </c>
      <c r="G4" s="3" t="s">
        <v>610</v>
      </c>
      <c r="H4" s="3" t="s">
        <v>611</v>
      </c>
      <c r="I4" s="3" t="s">
        <v>612</v>
      </c>
      <c r="J4" s="3" t="s">
        <v>613</v>
      </c>
      <c r="K4" s="3" t="s">
        <v>614</v>
      </c>
      <c r="L4" s="3" t="s">
        <v>615</v>
      </c>
      <c r="M4" s="3" t="s">
        <v>616</v>
      </c>
      <c r="N4" s="3" t="s">
        <v>617</v>
      </c>
      <c r="O4" s="3" t="s">
        <v>618</v>
      </c>
      <c r="P4" s="3" t="s">
        <v>619</v>
      </c>
      <c r="Q4" s="3" t="s">
        <v>620</v>
      </c>
      <c r="R4" s="3" t="s">
        <v>621</v>
      </c>
      <c r="S4" s="3" t="s">
        <v>622</v>
      </c>
      <c r="T4" s="3" t="s">
        <v>623</v>
      </c>
      <c r="U4" s="3" t="s">
        <v>624</v>
      </c>
      <c r="V4" s="3" t="s">
        <v>255</v>
      </c>
      <c r="W4" s="3" t="s">
        <v>625</v>
      </c>
      <c r="X4" s="3" t="s">
        <v>626</v>
      </c>
    </row>
    <row r="5" customFormat="false" ht="15" hidden="false" customHeight="false" outlineLevel="0" collapsed="false">
      <c r="A5" s="18" t="s">
        <v>627</v>
      </c>
      <c r="B5" s="18" t="n">
        <v>2</v>
      </c>
      <c r="C5" s="18" t="s">
        <v>628</v>
      </c>
      <c r="D5" s="28" t="n">
        <f aca="false">Summary!C11</f>
        <v>18</v>
      </c>
      <c r="E5" s="24" t="n">
        <f aca="false">Summary!C12</f>
        <v>278420000</v>
      </c>
      <c r="F5" s="28" t="n">
        <f aca="false">Summary!C13</f>
        <v>2</v>
      </c>
      <c r="G5" s="24" t="n">
        <f aca="false">Summary!C14</f>
        <v>14750000</v>
      </c>
      <c r="H5" s="27" t="n">
        <v>0</v>
      </c>
      <c r="I5" s="19" t="n">
        <v>0</v>
      </c>
      <c r="J5" s="27" t="n">
        <v>0</v>
      </c>
      <c r="K5" s="19" t="n">
        <v>0</v>
      </c>
      <c r="L5" s="29" t="n">
        <f aca="false">D5+H5</f>
        <v>18</v>
      </c>
      <c r="M5" s="25" t="n">
        <f aca="false">E5+I5</f>
        <v>278420000</v>
      </c>
      <c r="N5" s="29" t="n">
        <f aca="false">F5+J5</f>
        <v>2</v>
      </c>
      <c r="O5" s="25" t="n">
        <f aca="false">G5+K5</f>
        <v>14750000</v>
      </c>
      <c r="P5" s="29" t="n">
        <f aca="false">L5+N5</f>
        <v>20</v>
      </c>
      <c r="Q5" s="25" t="n">
        <f aca="false">M5+O5</f>
        <v>293170000</v>
      </c>
      <c r="R5" s="31" t="n">
        <f aca="false">L5/P5</f>
        <v>0.9</v>
      </c>
      <c r="S5" s="31" t="n">
        <f aca="false">M5/Q5</f>
        <v>0.949687894395743</v>
      </c>
      <c r="T5" s="18" t="str">
        <f aca="false">IF(R5&gt;0.5,"MET","NOT MET")</f>
        <v>MET</v>
      </c>
      <c r="U5" s="18" t="str">
        <f aca="false">IF(S5&gt;=2/3,"MET","NOT MET")</f>
        <v>MET</v>
      </c>
      <c r="V5" s="18" t="str">
        <f aca="false">IF(AND(T5="MET",U5="MET"),"ACCEPTS","REJECTS")</f>
        <v>ACCEPTS</v>
      </c>
      <c r="W5" s="18" t="str">
        <f aca="false">IF(V5=V$5,"No change","RESULT CHANGES")</f>
        <v>No change</v>
      </c>
      <c r="X5" s="18" t="s">
        <v>21</v>
      </c>
    </row>
    <row r="6" customFormat="false" ht="28.35" hidden="false" customHeight="false" outlineLevel="0" collapsed="false">
      <c r="A6" s="18" t="s">
        <v>629</v>
      </c>
      <c r="B6" s="18" t="n">
        <v>2</v>
      </c>
      <c r="C6" s="18" t="s">
        <v>630</v>
      </c>
      <c r="D6" s="28" t="n">
        <f aca="false">Summary!C11</f>
        <v>18</v>
      </c>
      <c r="E6" s="24" t="n">
        <f aca="false">Summary!C12</f>
        <v>278420000</v>
      </c>
      <c r="F6" s="28" t="n">
        <f aca="false">Summary!C13</f>
        <v>2</v>
      </c>
      <c r="G6" s="24" t="n">
        <f aca="false">Summary!C14</f>
        <v>14750000</v>
      </c>
      <c r="H6" s="27" t="n">
        <v>-1</v>
      </c>
      <c r="I6" s="19" t="n">
        <v>-15600000</v>
      </c>
      <c r="J6" s="27" t="n">
        <v>0</v>
      </c>
      <c r="K6" s="19" t="n">
        <v>0</v>
      </c>
      <c r="L6" s="29" t="n">
        <f aca="false">D6+H6</f>
        <v>17</v>
      </c>
      <c r="M6" s="25" t="n">
        <f aca="false">E6+I6</f>
        <v>262820000</v>
      </c>
      <c r="N6" s="29" t="n">
        <f aca="false">F6+J6</f>
        <v>2</v>
      </c>
      <c r="O6" s="25" t="n">
        <f aca="false">G6+K6</f>
        <v>14750000</v>
      </c>
      <c r="P6" s="29" t="n">
        <f aca="false">L6+N6</f>
        <v>19</v>
      </c>
      <c r="Q6" s="25" t="n">
        <f aca="false">M6+O6</f>
        <v>277570000</v>
      </c>
      <c r="R6" s="31" t="n">
        <f aca="false">L6/P6</f>
        <v>0.894736842105263</v>
      </c>
      <c r="S6" s="31" t="n">
        <f aca="false">M6/Q6</f>
        <v>0.946860251468098</v>
      </c>
      <c r="T6" s="18" t="str">
        <f aca="false">IF(R6&gt;0.5,"MET","NOT MET")</f>
        <v>MET</v>
      </c>
      <c r="U6" s="18" t="str">
        <f aca="false">IF(S6&gt;=2/3,"MET","NOT MET")</f>
        <v>MET</v>
      </c>
      <c r="V6" s="18" t="str">
        <f aca="false">IF(AND(T6="MET",U6="MET"),"ACCEPTS","REJECTS")</f>
        <v>ACCEPTS</v>
      </c>
      <c r="W6" s="18" t="str">
        <f aca="false">IF(V6=V$5,"No change","RESULT CHANGES")</f>
        <v>No change</v>
      </c>
      <c r="X6" s="18" t="s">
        <v>631</v>
      </c>
    </row>
    <row r="7" customFormat="false" ht="15" hidden="false" customHeight="false" outlineLevel="0" collapsed="false">
      <c r="A7" s="18" t="s">
        <v>632</v>
      </c>
      <c r="B7" s="18" t="n">
        <v>2</v>
      </c>
      <c r="C7" s="18" t="s">
        <v>633</v>
      </c>
      <c r="D7" s="28" t="n">
        <f aca="false">Summary!C11</f>
        <v>18</v>
      </c>
      <c r="E7" s="24" t="n">
        <f aca="false">Summary!C12</f>
        <v>278420000</v>
      </c>
      <c r="F7" s="28" t="n">
        <f aca="false">Summary!C13</f>
        <v>2</v>
      </c>
      <c r="G7" s="24" t="n">
        <f aca="false">Summary!C14</f>
        <v>14750000</v>
      </c>
      <c r="H7" s="27" t="n">
        <v>-1</v>
      </c>
      <c r="I7" s="19" t="n">
        <v>-15600000</v>
      </c>
      <c r="J7" s="27" t="n">
        <v>1</v>
      </c>
      <c r="K7" s="19" t="n">
        <v>15600000</v>
      </c>
      <c r="L7" s="29" t="n">
        <f aca="false">D7+H7</f>
        <v>17</v>
      </c>
      <c r="M7" s="25" t="n">
        <f aca="false">E7+I7</f>
        <v>262820000</v>
      </c>
      <c r="N7" s="29" t="n">
        <f aca="false">F7+J7</f>
        <v>3</v>
      </c>
      <c r="O7" s="25" t="n">
        <f aca="false">G7+K7</f>
        <v>30350000</v>
      </c>
      <c r="P7" s="29" t="n">
        <f aca="false">L7+N7</f>
        <v>20</v>
      </c>
      <c r="Q7" s="25" t="n">
        <f aca="false">M7+O7</f>
        <v>293170000</v>
      </c>
      <c r="R7" s="31" t="n">
        <f aca="false">L7/P7</f>
        <v>0.85</v>
      </c>
      <c r="S7" s="31" t="n">
        <f aca="false">M7/Q7</f>
        <v>0.896476447112597</v>
      </c>
      <c r="T7" s="18" t="str">
        <f aca="false">IF(R7&gt;0.5,"MET","NOT MET")</f>
        <v>MET</v>
      </c>
      <c r="U7" s="18" t="str">
        <f aca="false">IF(S7&gt;=2/3,"MET","NOT MET")</f>
        <v>MET</v>
      </c>
      <c r="V7" s="18" t="str">
        <f aca="false">IF(AND(T7="MET",U7="MET"),"ACCEPTS","REJECTS")</f>
        <v>ACCEPTS</v>
      </c>
      <c r="W7" s="18" t="str">
        <f aca="false">IF(V7=V$5,"No change","RESULT CHANGES")</f>
        <v>No change</v>
      </c>
      <c r="X7" s="18" t="s">
        <v>634</v>
      </c>
    </row>
    <row r="8" customFormat="false" ht="15" hidden="false" customHeight="false" outlineLevel="0" collapsed="false">
      <c r="A8" s="18" t="s">
        <v>635</v>
      </c>
      <c r="B8" s="18" t="n">
        <v>2</v>
      </c>
      <c r="C8" s="18" t="s">
        <v>636</v>
      </c>
      <c r="D8" s="28" t="n">
        <f aca="false">Summary!C11</f>
        <v>18</v>
      </c>
      <c r="E8" s="24" t="n">
        <f aca="false">Summary!C12</f>
        <v>278420000</v>
      </c>
      <c r="F8" s="28" t="n">
        <f aca="false">Summary!C13</f>
        <v>2</v>
      </c>
      <c r="G8" s="24" t="n">
        <f aca="false">Summary!C14</f>
        <v>14750000</v>
      </c>
      <c r="H8" s="27" t="n">
        <v>0</v>
      </c>
      <c r="I8" s="19" t="n">
        <v>0</v>
      </c>
      <c r="J8" s="27" t="n">
        <v>1</v>
      </c>
      <c r="K8" s="19" t="n">
        <v>11300000</v>
      </c>
      <c r="L8" s="29" t="n">
        <f aca="false">D8+H8</f>
        <v>18</v>
      </c>
      <c r="M8" s="25" t="n">
        <f aca="false">E8+I8</f>
        <v>278420000</v>
      </c>
      <c r="N8" s="29" t="n">
        <f aca="false">F8+J8</f>
        <v>3</v>
      </c>
      <c r="O8" s="25" t="n">
        <f aca="false">G8+K8</f>
        <v>26050000</v>
      </c>
      <c r="P8" s="29" t="n">
        <f aca="false">L8+N8</f>
        <v>21</v>
      </c>
      <c r="Q8" s="25" t="n">
        <f aca="false">M8+O8</f>
        <v>304470000</v>
      </c>
      <c r="R8" s="31" t="n">
        <f aca="false">L8/P8</f>
        <v>0.857142857142857</v>
      </c>
      <c r="S8" s="31" t="n">
        <f aca="false">M8/Q8</f>
        <v>0.914441488488193</v>
      </c>
      <c r="T8" s="18" t="str">
        <f aca="false">IF(R8&gt;0.5,"MET","NOT MET")</f>
        <v>MET</v>
      </c>
      <c r="U8" s="18" t="str">
        <f aca="false">IF(S8&gt;=2/3,"MET","NOT MET")</f>
        <v>MET</v>
      </c>
      <c r="V8" s="18" t="str">
        <f aca="false">IF(AND(T8="MET",U8="MET"),"ACCEPTS","REJECTS")</f>
        <v>ACCEPTS</v>
      </c>
      <c r="W8" s="18" t="str">
        <f aca="false">IF(V8=V$5,"No change","RESULT CHANGES")</f>
        <v>No change</v>
      </c>
      <c r="X8" s="18" t="s">
        <v>637</v>
      </c>
    </row>
    <row r="9" customFormat="false" ht="28.35" hidden="false" customHeight="false" outlineLevel="0" collapsed="false">
      <c r="A9" s="18" t="s">
        <v>638</v>
      </c>
      <c r="B9" s="18" t="n">
        <v>2</v>
      </c>
      <c r="C9" s="18" t="s">
        <v>639</v>
      </c>
      <c r="D9" s="28" t="n">
        <f aca="false">Summary!C11</f>
        <v>18</v>
      </c>
      <c r="E9" s="24" t="n">
        <f aca="false">Summary!C12</f>
        <v>278420000</v>
      </c>
      <c r="F9" s="28" t="n">
        <f aca="false">Summary!C13</f>
        <v>2</v>
      </c>
      <c r="G9" s="24" t="n">
        <f aca="false">Summary!C14</f>
        <v>14750000</v>
      </c>
      <c r="H9" s="27" t="n">
        <v>-1</v>
      </c>
      <c r="I9" s="19" t="n">
        <v>-15600000</v>
      </c>
      <c r="J9" s="27" t="n">
        <v>2</v>
      </c>
      <c r="K9" s="19" t="n">
        <v>26900000</v>
      </c>
      <c r="L9" s="29" t="n">
        <f aca="false">D9+H9</f>
        <v>17</v>
      </c>
      <c r="M9" s="25" t="n">
        <f aca="false">E9+I9</f>
        <v>262820000</v>
      </c>
      <c r="N9" s="29" t="n">
        <f aca="false">F9+J9</f>
        <v>4</v>
      </c>
      <c r="O9" s="25" t="n">
        <f aca="false">G9+K9</f>
        <v>41650000</v>
      </c>
      <c r="P9" s="29" t="n">
        <f aca="false">L9+N9</f>
        <v>21</v>
      </c>
      <c r="Q9" s="25" t="n">
        <f aca="false">M9+O9</f>
        <v>304470000</v>
      </c>
      <c r="R9" s="31" t="n">
        <f aca="false">L9/P9</f>
        <v>0.80952380952381</v>
      </c>
      <c r="S9" s="31" t="n">
        <f aca="false">M9/Q9</f>
        <v>0.86320491345617</v>
      </c>
      <c r="T9" s="18" t="str">
        <f aca="false">IF(R9&gt;0.5,"MET","NOT MET")</f>
        <v>MET</v>
      </c>
      <c r="U9" s="18" t="str">
        <f aca="false">IF(S9&gt;=2/3,"MET","NOT MET")</f>
        <v>MET</v>
      </c>
      <c r="V9" s="18" t="str">
        <f aca="false">IF(AND(T9="MET",U9="MET"),"ACCEPTS","REJECTS")</f>
        <v>ACCEPTS</v>
      </c>
      <c r="W9" s="18" t="str">
        <f aca="false">IF(V9=V$5,"No change","RESULT CHANGES")</f>
        <v>No change</v>
      </c>
      <c r="X9" s="18" t="s">
        <v>640</v>
      </c>
    </row>
    <row r="10" customFormat="false" ht="28.35" hidden="false" customHeight="false" outlineLevel="0" collapsed="false">
      <c r="A10" s="18" t="s">
        <v>641</v>
      </c>
      <c r="B10" s="18" t="n">
        <v>2</v>
      </c>
      <c r="C10" s="18" t="s">
        <v>642</v>
      </c>
      <c r="D10" s="28" t="n">
        <f aca="false">Summary!C11</f>
        <v>18</v>
      </c>
      <c r="E10" s="24" t="n">
        <f aca="false">Summary!C12</f>
        <v>278420000</v>
      </c>
      <c r="F10" s="28" t="n">
        <f aca="false">Summary!C13</f>
        <v>2</v>
      </c>
      <c r="G10" s="24" t="n">
        <f aca="false">Summary!C14</f>
        <v>14750000</v>
      </c>
      <c r="H10" s="27" t="n">
        <v>-1</v>
      </c>
      <c r="I10" s="19" t="n">
        <v>-15600000</v>
      </c>
      <c r="J10" s="27" t="n">
        <v>4</v>
      </c>
      <c r="K10" s="19" t="n">
        <v>30930000</v>
      </c>
      <c r="L10" s="29" t="n">
        <f aca="false">D10+H10</f>
        <v>17</v>
      </c>
      <c r="M10" s="25" t="n">
        <f aca="false">E10+I10</f>
        <v>262820000</v>
      </c>
      <c r="N10" s="29" t="n">
        <f aca="false">F10+J10</f>
        <v>6</v>
      </c>
      <c r="O10" s="25" t="n">
        <f aca="false">G10+K10</f>
        <v>45680000</v>
      </c>
      <c r="P10" s="29" t="n">
        <f aca="false">L10+N10</f>
        <v>23</v>
      </c>
      <c r="Q10" s="25" t="n">
        <f aca="false">M10+O10</f>
        <v>308500000</v>
      </c>
      <c r="R10" s="31" t="n">
        <f aca="false">L10/P10</f>
        <v>0.739130434782609</v>
      </c>
      <c r="S10" s="31" t="n">
        <f aca="false">M10/Q10</f>
        <v>0.85192868719611</v>
      </c>
      <c r="T10" s="18" t="str">
        <f aca="false">IF(R10&gt;0.5,"MET","NOT MET")</f>
        <v>MET</v>
      </c>
      <c r="U10" s="18" t="str">
        <f aca="false">IF(S10&gt;=2/3,"MET","NOT MET")</f>
        <v>MET</v>
      </c>
      <c r="V10" s="18" t="str">
        <f aca="false">IF(AND(T10="MET",U10="MET"),"ACCEPTS","REJECTS")</f>
        <v>ACCEPTS</v>
      </c>
      <c r="W10" s="18" t="str">
        <f aca="false">IF(V10=V$5,"No change","RESULT CHANGES")</f>
        <v>No change</v>
      </c>
      <c r="X10" s="18" t="s">
        <v>643</v>
      </c>
    </row>
    <row r="11" customFormat="false" ht="15" hidden="false" customHeight="false" outlineLevel="0" collapsed="false">
      <c r="A11" s="18" t="s">
        <v>644</v>
      </c>
      <c r="B11" s="18" t="n">
        <v>3</v>
      </c>
      <c r="C11" s="18" t="s">
        <v>628</v>
      </c>
      <c r="D11" s="28" t="n">
        <f aca="false">Summary!D11</f>
        <v>5</v>
      </c>
      <c r="E11" s="24" t="n">
        <f aca="false">Summary!D12</f>
        <v>29870000</v>
      </c>
      <c r="F11" s="28" t="n">
        <f aca="false">Summary!D13</f>
        <v>7</v>
      </c>
      <c r="G11" s="24" t="n">
        <f aca="false">Summary!D14</f>
        <v>62430000</v>
      </c>
      <c r="H11" s="27" t="n">
        <v>0</v>
      </c>
      <c r="I11" s="19" t="n">
        <v>0</v>
      </c>
      <c r="J11" s="27" t="n">
        <v>0</v>
      </c>
      <c r="K11" s="19" t="n">
        <v>0</v>
      </c>
      <c r="L11" s="29" t="n">
        <f aca="false">D11+H11</f>
        <v>5</v>
      </c>
      <c r="M11" s="25" t="n">
        <f aca="false">E11+I11</f>
        <v>29870000</v>
      </c>
      <c r="N11" s="29" t="n">
        <f aca="false">F11+J11</f>
        <v>7</v>
      </c>
      <c r="O11" s="25" t="n">
        <f aca="false">G11+K11</f>
        <v>62430000</v>
      </c>
      <c r="P11" s="29" t="n">
        <f aca="false">L11+N11</f>
        <v>12</v>
      </c>
      <c r="Q11" s="25" t="n">
        <f aca="false">M11+O11</f>
        <v>92300000</v>
      </c>
      <c r="R11" s="31" t="n">
        <f aca="false">L11/P11</f>
        <v>0.416666666666667</v>
      </c>
      <c r="S11" s="31" t="n">
        <f aca="false">M11/Q11</f>
        <v>0.323618634886241</v>
      </c>
      <c r="T11" s="18" t="str">
        <f aca="false">IF(R11&gt;0.5,"MET","NOT MET")</f>
        <v>NOT MET</v>
      </c>
      <c r="U11" s="18" t="str">
        <f aca="false">IF(S11&gt;=2/3,"MET","NOT MET")</f>
        <v>NOT MET</v>
      </c>
      <c r="V11" s="18" t="str">
        <f aca="false">IF(AND(T11="MET",U11="MET"),"ACCEPTS","REJECTS")</f>
        <v>REJECTS</v>
      </c>
      <c r="W11" s="18" t="str">
        <f aca="false">IF(V11=V$11,"No change","RESULT CHANGES")</f>
        <v>No change</v>
      </c>
      <c r="X11" s="18" t="s">
        <v>21</v>
      </c>
    </row>
    <row r="12" customFormat="false" ht="28.35" hidden="false" customHeight="false" outlineLevel="0" collapsed="false">
      <c r="A12" s="18" t="s">
        <v>645</v>
      </c>
      <c r="B12" s="18" t="n">
        <v>3</v>
      </c>
      <c r="C12" s="18" t="s">
        <v>646</v>
      </c>
      <c r="D12" s="28" t="n">
        <f aca="false">Summary!D11</f>
        <v>5</v>
      </c>
      <c r="E12" s="24" t="n">
        <f aca="false">Summary!D12</f>
        <v>29870000</v>
      </c>
      <c r="F12" s="28" t="n">
        <f aca="false">Summary!D13</f>
        <v>7</v>
      </c>
      <c r="G12" s="24" t="n">
        <f aca="false">Summary!D14</f>
        <v>62430000</v>
      </c>
      <c r="H12" s="27" t="n">
        <v>1</v>
      </c>
      <c r="I12" s="19" t="n">
        <v>6200000</v>
      </c>
      <c r="J12" s="27" t="n">
        <v>0</v>
      </c>
      <c r="K12" s="19" t="n">
        <v>0</v>
      </c>
      <c r="L12" s="29" t="n">
        <f aca="false">D12+H12</f>
        <v>6</v>
      </c>
      <c r="M12" s="25" t="n">
        <f aca="false">E12+I12</f>
        <v>36070000</v>
      </c>
      <c r="N12" s="29" t="n">
        <f aca="false">F12+J12</f>
        <v>7</v>
      </c>
      <c r="O12" s="25" t="n">
        <f aca="false">G12+K12</f>
        <v>62430000</v>
      </c>
      <c r="P12" s="29" t="n">
        <f aca="false">L12+N12</f>
        <v>13</v>
      </c>
      <c r="Q12" s="25" t="n">
        <f aca="false">M12+O12</f>
        <v>98500000</v>
      </c>
      <c r="R12" s="31" t="n">
        <f aca="false">L12/P12</f>
        <v>0.461538461538462</v>
      </c>
      <c r="S12" s="31" t="n">
        <f aca="false">M12/Q12</f>
        <v>0.366192893401015</v>
      </c>
      <c r="T12" s="18" t="str">
        <f aca="false">IF(R12&gt;0.5,"MET","NOT MET")</f>
        <v>NOT MET</v>
      </c>
      <c r="U12" s="18" t="str">
        <f aca="false">IF(S12&gt;=2/3,"MET","NOT MET")</f>
        <v>NOT MET</v>
      </c>
      <c r="V12" s="18" t="str">
        <f aca="false">IF(AND(T12="MET",U12="MET"),"ACCEPTS","REJECTS")</f>
        <v>REJECTS</v>
      </c>
      <c r="W12" s="18" t="str">
        <f aca="false">IF(V12=V$11,"No change","RESULT CHANGES")</f>
        <v>No change</v>
      </c>
      <c r="X12" s="18" t="s">
        <v>647</v>
      </c>
    </row>
    <row r="13" customFormat="false" ht="15" hidden="false" customHeight="false" outlineLevel="0" collapsed="false">
      <c r="A13" s="18" t="s">
        <v>648</v>
      </c>
      <c r="B13" s="18" t="n">
        <v>3</v>
      </c>
      <c r="C13" s="18" t="s">
        <v>649</v>
      </c>
      <c r="D13" s="28" t="n">
        <f aca="false">Summary!D11</f>
        <v>5</v>
      </c>
      <c r="E13" s="24" t="n">
        <f aca="false">Summary!D12</f>
        <v>29870000</v>
      </c>
      <c r="F13" s="28" t="n">
        <f aca="false">Summary!D13</f>
        <v>7</v>
      </c>
      <c r="G13" s="24" t="n">
        <f aca="false">Summary!D14</f>
        <v>62430000</v>
      </c>
      <c r="H13" s="27" t="n">
        <v>2</v>
      </c>
      <c r="I13" s="19" t="n">
        <v>11200000</v>
      </c>
      <c r="J13" s="27" t="n">
        <v>0</v>
      </c>
      <c r="K13" s="19" t="n">
        <v>0</v>
      </c>
      <c r="L13" s="29" t="n">
        <f aca="false">D13+H13</f>
        <v>7</v>
      </c>
      <c r="M13" s="25" t="n">
        <f aca="false">E13+I13</f>
        <v>41070000</v>
      </c>
      <c r="N13" s="29" t="n">
        <f aca="false">F13+J13</f>
        <v>7</v>
      </c>
      <c r="O13" s="25" t="n">
        <f aca="false">G13+K13</f>
        <v>62430000</v>
      </c>
      <c r="P13" s="29" t="n">
        <f aca="false">L13+N13</f>
        <v>14</v>
      </c>
      <c r="Q13" s="25" t="n">
        <f aca="false">M13+O13</f>
        <v>103500000</v>
      </c>
      <c r="R13" s="31" t="n">
        <f aca="false">L13/P13</f>
        <v>0.5</v>
      </c>
      <c r="S13" s="31" t="n">
        <f aca="false">M13/Q13</f>
        <v>0.396811594202899</v>
      </c>
      <c r="T13" s="18" t="str">
        <f aca="false">IF(R13&gt;0.5,"MET","NOT MET")</f>
        <v>NOT MET</v>
      </c>
      <c r="U13" s="18" t="str">
        <f aca="false">IF(S13&gt;=2/3,"MET","NOT MET")</f>
        <v>NOT MET</v>
      </c>
      <c r="V13" s="18" t="str">
        <f aca="false">IF(AND(T13="MET",U13="MET"),"ACCEPTS","REJECTS")</f>
        <v>REJECTS</v>
      </c>
      <c r="W13" s="18" t="str">
        <f aca="false">IF(V13=V$11,"No change","RESULT CHANGES")</f>
        <v>No change</v>
      </c>
      <c r="X13" s="18" t="s">
        <v>650</v>
      </c>
    </row>
    <row r="14" customFormat="false" ht="28.35" hidden="false" customHeight="false" outlineLevel="0" collapsed="false">
      <c r="A14" s="18" t="s">
        <v>651</v>
      </c>
      <c r="B14" s="18" t="n">
        <v>3</v>
      </c>
      <c r="C14" s="18" t="s">
        <v>652</v>
      </c>
      <c r="D14" s="28" t="n">
        <f aca="false">Summary!D11</f>
        <v>5</v>
      </c>
      <c r="E14" s="24" t="n">
        <f aca="false">Summary!D12</f>
        <v>29870000</v>
      </c>
      <c r="F14" s="28" t="n">
        <f aca="false">Summary!D13</f>
        <v>7</v>
      </c>
      <c r="G14" s="24" t="n">
        <f aca="false">Summary!D14</f>
        <v>62430000</v>
      </c>
      <c r="H14" s="27" t="n">
        <v>3</v>
      </c>
      <c r="I14" s="19" t="n">
        <v>25700000</v>
      </c>
      <c r="J14" s="27" t="n">
        <v>-1</v>
      </c>
      <c r="K14" s="19" t="n">
        <v>-14500000</v>
      </c>
      <c r="L14" s="29" t="n">
        <f aca="false">D14+H14</f>
        <v>8</v>
      </c>
      <c r="M14" s="25" t="n">
        <f aca="false">E14+I14</f>
        <v>55570000</v>
      </c>
      <c r="N14" s="29" t="n">
        <f aca="false">F14+J14</f>
        <v>6</v>
      </c>
      <c r="O14" s="25" t="n">
        <f aca="false">G14+K14</f>
        <v>47930000</v>
      </c>
      <c r="P14" s="29" t="n">
        <f aca="false">L14+N14</f>
        <v>14</v>
      </c>
      <c r="Q14" s="25" t="n">
        <f aca="false">M14+O14</f>
        <v>103500000</v>
      </c>
      <c r="R14" s="31" t="n">
        <f aca="false">L14/P14</f>
        <v>0.571428571428571</v>
      </c>
      <c r="S14" s="31" t="n">
        <f aca="false">M14/Q14</f>
        <v>0.536908212560387</v>
      </c>
      <c r="T14" s="18" t="str">
        <f aca="false">IF(R14&gt;0.5,"MET","NOT MET")</f>
        <v>MET</v>
      </c>
      <c r="U14" s="18" t="str">
        <f aca="false">IF(S14&gt;=2/3,"MET","NOT MET")</f>
        <v>NOT MET</v>
      </c>
      <c r="V14" s="18" t="str">
        <f aca="false">IF(AND(T14="MET",U14="MET"),"ACCEPTS","REJECTS")</f>
        <v>REJECTS</v>
      </c>
      <c r="W14" s="18" t="str">
        <f aca="false">IF(V14=V$11,"No change","RESULT CHANGES")</f>
        <v>No change</v>
      </c>
      <c r="X14" s="18" t="s">
        <v>653</v>
      </c>
    </row>
    <row r="15" customFormat="false" ht="15" hidden="false" customHeight="false" outlineLevel="0" collapsed="false">
      <c r="A15" s="18" t="s">
        <v>654</v>
      </c>
      <c r="B15" s="18" t="n">
        <v>4</v>
      </c>
      <c r="C15" s="18" t="s">
        <v>655</v>
      </c>
      <c r="D15" s="28" t="n">
        <f aca="false">Summary!E11</f>
        <v>209</v>
      </c>
      <c r="E15" s="24" t="n">
        <f aca="false">Summary!E12</f>
        <v>24381400</v>
      </c>
      <c r="F15" s="28" t="n">
        <f aca="false">Summary!E13</f>
        <v>71</v>
      </c>
      <c r="G15" s="24" t="n">
        <f aca="false">Summary!E14</f>
        <v>9081600</v>
      </c>
      <c r="H15" s="27" t="n">
        <v>0</v>
      </c>
      <c r="I15" s="19" t="n">
        <v>0</v>
      </c>
      <c r="J15" s="27" t="n">
        <v>0</v>
      </c>
      <c r="K15" s="19" t="n">
        <v>0</v>
      </c>
      <c r="L15" s="29" t="n">
        <f aca="false">D15+H15</f>
        <v>209</v>
      </c>
      <c r="M15" s="25" t="n">
        <f aca="false">E15+I15</f>
        <v>24381400</v>
      </c>
      <c r="N15" s="29" t="n">
        <f aca="false">F15+J15</f>
        <v>71</v>
      </c>
      <c r="O15" s="25" t="n">
        <f aca="false">G15+K15</f>
        <v>9081600</v>
      </c>
      <c r="P15" s="29" t="n">
        <f aca="false">L15+N15</f>
        <v>280</v>
      </c>
      <c r="Q15" s="25" t="n">
        <f aca="false">M15+O15</f>
        <v>33463000</v>
      </c>
      <c r="R15" s="31" t="n">
        <f aca="false">L15/P15</f>
        <v>0.746428571428571</v>
      </c>
      <c r="S15" s="31" t="n">
        <f aca="false">M15/Q15</f>
        <v>0.728607715984819</v>
      </c>
      <c r="T15" s="18" t="str">
        <f aca="false">IF(R15&gt;0.5,"MET","NOT MET")</f>
        <v>MET</v>
      </c>
      <c r="U15" s="18" t="str">
        <f aca="false">IF(S15&gt;=2/3,"MET","NOT MET")</f>
        <v>MET</v>
      </c>
      <c r="V15" s="18" t="str">
        <f aca="false">IF(AND(T15="MET",U15="MET"),"ACCEPTS","REJECTS")</f>
        <v>ACCEPTS</v>
      </c>
      <c r="W15" s="18" t="str">
        <f aca="false">IF(V15=V$15,"No change","RESULT CHANGES")</f>
        <v>No change</v>
      </c>
      <c r="X15" s="18" t="s">
        <v>21</v>
      </c>
    </row>
    <row r="16" customFormat="false" ht="28.35" hidden="false" customHeight="false" outlineLevel="0" collapsed="false">
      <c r="A16" s="18" t="s">
        <v>656</v>
      </c>
      <c r="B16" s="18" t="n">
        <v>4</v>
      </c>
      <c r="C16" s="18" t="s">
        <v>657</v>
      </c>
      <c r="D16" s="28" t="n">
        <f aca="false">Summary!E11</f>
        <v>209</v>
      </c>
      <c r="E16" s="24" t="n">
        <f aca="false">Summary!E12</f>
        <v>24381400</v>
      </c>
      <c r="F16" s="28" t="n">
        <f aca="false">Summary!E13</f>
        <v>71</v>
      </c>
      <c r="G16" s="24" t="n">
        <f aca="false">Summary!E14</f>
        <v>9081600</v>
      </c>
      <c r="H16" s="27" t="n">
        <v>0</v>
      </c>
      <c r="I16" s="19" t="n">
        <v>-63000</v>
      </c>
      <c r="J16" s="27" t="n">
        <v>0</v>
      </c>
      <c r="K16" s="19" t="n">
        <v>0</v>
      </c>
      <c r="L16" s="29" t="n">
        <f aca="false">D16+H16</f>
        <v>209</v>
      </c>
      <c r="M16" s="25" t="n">
        <f aca="false">E16+I16</f>
        <v>24318400</v>
      </c>
      <c r="N16" s="29" t="n">
        <f aca="false">F16+J16</f>
        <v>71</v>
      </c>
      <c r="O16" s="25" t="n">
        <f aca="false">G16+K16</f>
        <v>9081600</v>
      </c>
      <c r="P16" s="29" t="n">
        <f aca="false">L16+N16</f>
        <v>280</v>
      </c>
      <c r="Q16" s="25" t="n">
        <f aca="false">M16+O16</f>
        <v>33400000</v>
      </c>
      <c r="R16" s="31" t="n">
        <f aca="false">L16/P16</f>
        <v>0.746428571428571</v>
      </c>
      <c r="S16" s="31" t="n">
        <f aca="false">M16/Q16</f>
        <v>0.728095808383234</v>
      </c>
      <c r="T16" s="18" t="str">
        <f aca="false">IF(R16&gt;0.5,"MET","NOT MET")</f>
        <v>MET</v>
      </c>
      <c r="U16" s="18" t="str">
        <f aca="false">IF(S16&gt;=2/3,"MET","NOT MET")</f>
        <v>MET</v>
      </c>
      <c r="V16" s="18" t="str">
        <f aca="false">IF(AND(T16="MET",U16="MET"),"ACCEPTS","REJECTS")</f>
        <v>ACCEPTS</v>
      </c>
      <c r="W16" s="18" t="str">
        <f aca="false">IF(V16=V$15,"No change","RESULT CHANGES")</f>
        <v>No change</v>
      </c>
      <c r="X16" s="18" t="s">
        <v>658</v>
      </c>
    </row>
    <row r="17" customFormat="false" ht="28.35" hidden="false" customHeight="false" outlineLevel="0" collapsed="false">
      <c r="A17" s="18" t="s">
        <v>659</v>
      </c>
      <c r="B17" s="18" t="n">
        <v>4</v>
      </c>
      <c r="C17" s="18" t="s">
        <v>660</v>
      </c>
      <c r="D17" s="28" t="n">
        <f aca="false">Summary!E11</f>
        <v>209</v>
      </c>
      <c r="E17" s="24" t="n">
        <f aca="false">Summary!E12</f>
        <v>24381400</v>
      </c>
      <c r="F17" s="28" t="n">
        <f aca="false">Summary!E13</f>
        <v>71</v>
      </c>
      <c r="G17" s="24" t="n">
        <f aca="false">Summary!E14</f>
        <v>9081600</v>
      </c>
      <c r="H17" s="27" t="n">
        <v>-4</v>
      </c>
      <c r="I17" s="19" t="n">
        <v>-1740000</v>
      </c>
      <c r="J17" s="27" t="n">
        <v>-3</v>
      </c>
      <c r="K17" s="19" t="n">
        <v>-890000</v>
      </c>
      <c r="L17" s="29" t="n">
        <f aca="false">D17+H17</f>
        <v>205</v>
      </c>
      <c r="M17" s="25" t="n">
        <f aca="false">E17+I17</f>
        <v>22641400</v>
      </c>
      <c r="N17" s="29" t="n">
        <f aca="false">F17+J17</f>
        <v>68</v>
      </c>
      <c r="O17" s="25" t="n">
        <f aca="false">G17+K17</f>
        <v>8191600</v>
      </c>
      <c r="P17" s="29" t="n">
        <f aca="false">L17+N17</f>
        <v>273</v>
      </c>
      <c r="Q17" s="25" t="n">
        <f aca="false">M17+O17</f>
        <v>30833000</v>
      </c>
      <c r="R17" s="31" t="n">
        <f aca="false">L17/P17</f>
        <v>0.750915750915751</v>
      </c>
      <c r="S17" s="31" t="n">
        <f aca="false">M17/Q17</f>
        <v>0.734323614309344</v>
      </c>
      <c r="T17" s="18" t="str">
        <f aca="false">IF(R17&gt;0.5,"MET","NOT MET")</f>
        <v>MET</v>
      </c>
      <c r="U17" s="18" t="str">
        <f aca="false">IF(S17&gt;=2/3,"MET","NOT MET")</f>
        <v>MET</v>
      </c>
      <c r="V17" s="18" t="str">
        <f aca="false">IF(AND(T17="MET",U17="MET"),"ACCEPTS","REJECTS")</f>
        <v>ACCEPTS</v>
      </c>
      <c r="W17" s="18" t="str">
        <f aca="false">IF(V17=V$15,"No change","RESULT CHANGES")</f>
        <v>No change</v>
      </c>
      <c r="X17" s="18" t="s">
        <v>661</v>
      </c>
    </row>
    <row r="18" customFormat="false" ht="15" hidden="false" customHeight="false" outlineLevel="0" collapsed="false">
      <c r="A18" s="18" t="s">
        <v>662</v>
      </c>
      <c r="B18" s="18" t="n">
        <v>4</v>
      </c>
      <c r="C18" s="18" t="s">
        <v>663</v>
      </c>
      <c r="D18" s="28" t="n">
        <f aca="false">Summary!E11</f>
        <v>209</v>
      </c>
      <c r="E18" s="24" t="n">
        <f aca="false">Summary!E12</f>
        <v>24381400</v>
      </c>
      <c r="F18" s="28" t="n">
        <f aca="false">Summary!E13</f>
        <v>71</v>
      </c>
      <c r="G18" s="24" t="n">
        <f aca="false">Summary!E14</f>
        <v>9081600</v>
      </c>
      <c r="H18" s="27" t="n">
        <v>-4</v>
      </c>
      <c r="I18" s="19" t="n">
        <v>-1740000</v>
      </c>
      <c r="J18" s="27" t="n">
        <v>0</v>
      </c>
      <c r="K18" s="19" t="n">
        <v>0</v>
      </c>
      <c r="L18" s="29" t="n">
        <f aca="false">D18+H18</f>
        <v>205</v>
      </c>
      <c r="M18" s="25" t="n">
        <f aca="false">E18+I18</f>
        <v>22641400</v>
      </c>
      <c r="N18" s="29" t="n">
        <f aca="false">F18+J18</f>
        <v>71</v>
      </c>
      <c r="O18" s="25" t="n">
        <f aca="false">G18+K18</f>
        <v>9081600</v>
      </c>
      <c r="P18" s="29" t="n">
        <f aca="false">L18+N18</f>
        <v>276</v>
      </c>
      <c r="Q18" s="25" t="n">
        <f aca="false">M18+O18</f>
        <v>31723000</v>
      </c>
      <c r="R18" s="31" t="n">
        <f aca="false">L18/P18</f>
        <v>0.742753623188406</v>
      </c>
      <c r="S18" s="31" t="n">
        <f aca="false">M18/Q18</f>
        <v>0.713721905242253</v>
      </c>
      <c r="T18" s="18" t="str">
        <f aca="false">IF(R18&gt;0.5,"MET","NOT MET")</f>
        <v>MET</v>
      </c>
      <c r="U18" s="18" t="str">
        <f aca="false">IF(S18&gt;=2/3,"MET","NOT MET")</f>
        <v>MET</v>
      </c>
      <c r="V18" s="18" t="str">
        <f aca="false">IF(AND(T18="MET",U18="MET"),"ACCEPTS","REJECTS")</f>
        <v>ACCEPTS</v>
      </c>
      <c r="W18" s="18" t="str">
        <f aca="false">IF(V18=V$15,"No change","RESULT CHANGES")</f>
        <v>No change</v>
      </c>
      <c r="X18" s="18" t="s">
        <v>664</v>
      </c>
    </row>
    <row r="19" customFormat="false" ht="28.35" hidden="false" customHeight="false" outlineLevel="0" collapsed="false">
      <c r="A19" s="18" t="s">
        <v>665</v>
      </c>
      <c r="B19" s="18" t="n">
        <v>4</v>
      </c>
      <c r="C19" s="18" t="s">
        <v>666</v>
      </c>
      <c r="D19" s="28" t="n">
        <f aca="false">Summary!E11</f>
        <v>209</v>
      </c>
      <c r="E19" s="24" t="n">
        <f aca="false">Summary!E12</f>
        <v>24381400</v>
      </c>
      <c r="F19" s="28" t="n">
        <f aca="false">Summary!E13</f>
        <v>71</v>
      </c>
      <c r="G19" s="24" t="n">
        <f aca="false">Summary!E14</f>
        <v>9081600</v>
      </c>
      <c r="H19" s="27" t="n">
        <v>-1</v>
      </c>
      <c r="I19" s="19" t="n">
        <v>-320000</v>
      </c>
      <c r="J19" s="27" t="n">
        <v>0</v>
      </c>
      <c r="K19" s="19" t="n">
        <v>0</v>
      </c>
      <c r="L19" s="29" t="n">
        <f aca="false">D19+H19</f>
        <v>208</v>
      </c>
      <c r="M19" s="25" t="n">
        <f aca="false">E19+I19</f>
        <v>24061400</v>
      </c>
      <c r="N19" s="29" t="n">
        <f aca="false">F19+J19</f>
        <v>71</v>
      </c>
      <c r="O19" s="25" t="n">
        <f aca="false">G19+K19</f>
        <v>9081600</v>
      </c>
      <c r="P19" s="29" t="n">
        <f aca="false">L19+N19</f>
        <v>279</v>
      </c>
      <c r="Q19" s="25" t="n">
        <f aca="false">M19+O19</f>
        <v>33143000</v>
      </c>
      <c r="R19" s="31" t="n">
        <f aca="false">L19/P19</f>
        <v>0.745519713261649</v>
      </c>
      <c r="S19" s="31" t="n">
        <f aca="false">M19/Q19</f>
        <v>0.725987387985397</v>
      </c>
      <c r="T19" s="18" t="str">
        <f aca="false">IF(R19&gt;0.5,"MET","NOT MET")</f>
        <v>MET</v>
      </c>
      <c r="U19" s="18" t="str">
        <f aca="false">IF(S19&gt;=2/3,"MET","NOT MET")</f>
        <v>MET</v>
      </c>
      <c r="V19" s="18" t="str">
        <f aca="false">IF(AND(T19="MET",U19="MET"),"ACCEPTS","REJECTS")</f>
        <v>ACCEPTS</v>
      </c>
      <c r="W19" s="18" t="str">
        <f aca="false">IF(V19=V$15,"No change","RESULT CHANGES")</f>
        <v>No change</v>
      </c>
      <c r="X19" s="18" t="s">
        <v>667</v>
      </c>
    </row>
    <row r="20" customFormat="false" ht="28.35" hidden="false" customHeight="false" outlineLevel="0" collapsed="false">
      <c r="A20" s="18" t="s">
        <v>668</v>
      </c>
      <c r="B20" s="18" t="n">
        <v>4</v>
      </c>
      <c r="C20" s="18" t="s">
        <v>669</v>
      </c>
      <c r="D20" s="28" t="n">
        <f aca="false">Summary!E11</f>
        <v>209</v>
      </c>
      <c r="E20" s="24" t="n">
        <f aca="false">Summary!E12</f>
        <v>24381400</v>
      </c>
      <c r="F20" s="28" t="n">
        <f aca="false">Summary!E13</f>
        <v>71</v>
      </c>
      <c r="G20" s="24" t="n">
        <f aca="false">Summary!E14</f>
        <v>9081600</v>
      </c>
      <c r="H20" s="27" t="n">
        <v>-5</v>
      </c>
      <c r="I20" s="19" t="n">
        <v>-2060000</v>
      </c>
      <c r="J20" s="27" t="n">
        <v>0</v>
      </c>
      <c r="K20" s="19" t="n">
        <v>0</v>
      </c>
      <c r="L20" s="29" t="n">
        <f aca="false">D20+H20</f>
        <v>204</v>
      </c>
      <c r="M20" s="25" t="n">
        <f aca="false">E20+I20</f>
        <v>22321400</v>
      </c>
      <c r="N20" s="29" t="n">
        <f aca="false">F20+J20</f>
        <v>71</v>
      </c>
      <c r="O20" s="25" t="n">
        <f aca="false">G20+K20</f>
        <v>9081600</v>
      </c>
      <c r="P20" s="29" t="n">
        <f aca="false">L20+N20</f>
        <v>275</v>
      </c>
      <c r="Q20" s="25" t="n">
        <f aca="false">M20+O20</f>
        <v>31403000</v>
      </c>
      <c r="R20" s="31" t="n">
        <f aca="false">L20/P20</f>
        <v>0.741818181818182</v>
      </c>
      <c r="S20" s="31" t="n">
        <f aca="false">M20/Q20</f>
        <v>0.71080470018788</v>
      </c>
      <c r="T20" s="18" t="str">
        <f aca="false">IF(R20&gt;0.5,"MET","NOT MET")</f>
        <v>MET</v>
      </c>
      <c r="U20" s="18" t="str">
        <f aca="false">IF(S20&gt;=2/3,"MET","NOT MET")</f>
        <v>MET</v>
      </c>
      <c r="V20" s="18" t="str">
        <f aca="false">IF(AND(T20="MET",U20="MET"),"ACCEPTS","REJECTS")</f>
        <v>ACCEPTS</v>
      </c>
      <c r="W20" s="18" t="str">
        <f aca="false">IF(V20=V$15,"No change","RESULT CHANGES")</f>
        <v>No change</v>
      </c>
      <c r="X20" s="18" t="s">
        <v>670</v>
      </c>
    </row>
    <row r="21" customFormat="false" ht="28.35" hidden="false" customHeight="false" outlineLevel="0" collapsed="false">
      <c r="A21" s="18" t="s">
        <v>671</v>
      </c>
      <c r="B21" s="18" t="n">
        <v>4</v>
      </c>
      <c r="C21" s="18" t="s">
        <v>672</v>
      </c>
      <c r="D21" s="28" t="n">
        <f aca="false">Summary!E11</f>
        <v>209</v>
      </c>
      <c r="E21" s="24" t="n">
        <f aca="false">Summary!E12</f>
        <v>24381400</v>
      </c>
      <c r="F21" s="28" t="n">
        <f aca="false">Summary!E13</f>
        <v>71</v>
      </c>
      <c r="G21" s="24" t="n">
        <f aca="false">Summary!E14</f>
        <v>9081600</v>
      </c>
      <c r="H21" s="27" t="n">
        <v>-1</v>
      </c>
      <c r="I21" s="19" t="n">
        <v>-520000</v>
      </c>
      <c r="J21" s="27" t="n">
        <v>0</v>
      </c>
      <c r="K21" s="19" t="n">
        <v>0</v>
      </c>
      <c r="L21" s="29" t="n">
        <f aca="false">D21+H21</f>
        <v>208</v>
      </c>
      <c r="M21" s="25" t="n">
        <f aca="false">E21+I21</f>
        <v>23861400</v>
      </c>
      <c r="N21" s="29" t="n">
        <f aca="false">F21+J21</f>
        <v>71</v>
      </c>
      <c r="O21" s="25" t="n">
        <f aca="false">G21+K21</f>
        <v>9081600</v>
      </c>
      <c r="P21" s="29" t="n">
        <f aca="false">L21+N21</f>
        <v>279</v>
      </c>
      <c r="Q21" s="25" t="n">
        <f aca="false">M21+O21</f>
        <v>32943000</v>
      </c>
      <c r="R21" s="31" t="n">
        <f aca="false">L21/P21</f>
        <v>0.745519713261649</v>
      </c>
      <c r="S21" s="31" t="n">
        <f aca="false">M21/Q21</f>
        <v>0.724323832073582</v>
      </c>
      <c r="T21" s="18" t="str">
        <f aca="false">IF(R21&gt;0.5,"MET","NOT MET")</f>
        <v>MET</v>
      </c>
      <c r="U21" s="18" t="str">
        <f aca="false">IF(S21&gt;=2/3,"MET","NOT MET")</f>
        <v>MET</v>
      </c>
      <c r="V21" s="18" t="str">
        <f aca="false">IF(AND(T21="MET",U21="MET"),"ACCEPTS","REJECTS")</f>
        <v>ACCEPTS</v>
      </c>
      <c r="W21" s="18" t="str">
        <f aca="false">IF(V21=V$15,"No change","RESULT CHANGES")</f>
        <v>No change</v>
      </c>
      <c r="X21" s="18" t="s">
        <v>673</v>
      </c>
    </row>
    <row r="22" customFormat="false" ht="15" hidden="false" customHeight="false" outlineLevel="0" collapsed="false">
      <c r="A22" s="18" t="s">
        <v>674</v>
      </c>
      <c r="B22" s="18" t="n">
        <v>4</v>
      </c>
      <c r="C22" s="18" t="s">
        <v>675</v>
      </c>
      <c r="D22" s="28" t="n">
        <f aca="false">Summary!E11</f>
        <v>209</v>
      </c>
      <c r="E22" s="24" t="n">
        <f aca="false">Summary!E12</f>
        <v>24381400</v>
      </c>
      <c r="F22" s="28" t="n">
        <f aca="false">Summary!E13</f>
        <v>71</v>
      </c>
      <c r="G22" s="24" t="n">
        <f aca="false">Summary!E14</f>
        <v>9081600</v>
      </c>
      <c r="H22" s="27" t="n">
        <v>1</v>
      </c>
      <c r="I22" s="19" t="n">
        <v>412000</v>
      </c>
      <c r="J22" s="27" t="n">
        <v>-1</v>
      </c>
      <c r="K22" s="19" t="n">
        <v>-412000</v>
      </c>
      <c r="L22" s="29" t="n">
        <f aca="false">D22+H22</f>
        <v>210</v>
      </c>
      <c r="M22" s="25" t="n">
        <f aca="false">E22+I22</f>
        <v>24793400</v>
      </c>
      <c r="N22" s="29" t="n">
        <f aca="false">F22+J22</f>
        <v>70</v>
      </c>
      <c r="O22" s="25" t="n">
        <f aca="false">G22+K22</f>
        <v>8669600</v>
      </c>
      <c r="P22" s="29" t="n">
        <f aca="false">L22+N22</f>
        <v>280</v>
      </c>
      <c r="Q22" s="25" t="n">
        <f aca="false">M22+O22</f>
        <v>33463000</v>
      </c>
      <c r="R22" s="31" t="n">
        <f aca="false">L22/P22</f>
        <v>0.75</v>
      </c>
      <c r="S22" s="31" t="n">
        <f aca="false">M22/Q22</f>
        <v>0.740919821892837</v>
      </c>
      <c r="T22" s="18" t="str">
        <f aca="false">IF(R22&gt;0.5,"MET","NOT MET")</f>
        <v>MET</v>
      </c>
      <c r="U22" s="18" t="str">
        <f aca="false">IF(S22&gt;=2/3,"MET","NOT MET")</f>
        <v>MET</v>
      </c>
      <c r="V22" s="18" t="str">
        <f aca="false">IF(AND(T22="MET",U22="MET"),"ACCEPTS","REJECTS")</f>
        <v>ACCEPTS</v>
      </c>
      <c r="W22" s="18" t="str">
        <f aca="false">IF(V22=V$15,"No change","RESULT CHANGES")</f>
        <v>No change</v>
      </c>
      <c r="X22" s="18" t="s">
        <v>676</v>
      </c>
    </row>
    <row r="23" customFormat="false" ht="15" hidden="false" customHeight="false" outlineLevel="0" collapsed="false">
      <c r="A23" s="18" t="s">
        <v>677</v>
      </c>
      <c r="B23" s="18" t="n">
        <v>4</v>
      </c>
      <c r="C23" s="18" t="s">
        <v>678</v>
      </c>
      <c r="D23" s="28" t="n">
        <f aca="false">Summary!E11</f>
        <v>209</v>
      </c>
      <c r="E23" s="24" t="n">
        <f aca="false">Summary!E12</f>
        <v>24381400</v>
      </c>
      <c r="F23" s="28" t="n">
        <f aca="false">Summary!E13</f>
        <v>71</v>
      </c>
      <c r="G23" s="24" t="n">
        <f aca="false">Summary!E14</f>
        <v>9081600</v>
      </c>
      <c r="H23" s="27" t="n">
        <v>0</v>
      </c>
      <c r="I23" s="19" t="n">
        <v>0</v>
      </c>
      <c r="J23" s="27" t="n">
        <v>7</v>
      </c>
      <c r="K23" s="19" t="n">
        <v>827000</v>
      </c>
      <c r="L23" s="29" t="n">
        <f aca="false">D23+H23</f>
        <v>209</v>
      </c>
      <c r="M23" s="25" t="n">
        <f aca="false">E23+I23</f>
        <v>24381400</v>
      </c>
      <c r="N23" s="29" t="n">
        <f aca="false">F23+J23</f>
        <v>78</v>
      </c>
      <c r="O23" s="25" t="n">
        <f aca="false">G23+K23</f>
        <v>9908600</v>
      </c>
      <c r="P23" s="29" t="n">
        <f aca="false">L23+N23</f>
        <v>287</v>
      </c>
      <c r="Q23" s="25" t="n">
        <f aca="false">M23+O23</f>
        <v>34290000</v>
      </c>
      <c r="R23" s="31" t="n">
        <f aca="false">L23/P23</f>
        <v>0.72822299651568</v>
      </c>
      <c r="S23" s="31" t="n">
        <f aca="false">M23/Q23</f>
        <v>0.71103528725576</v>
      </c>
      <c r="T23" s="18" t="str">
        <f aca="false">IF(R23&gt;0.5,"MET","NOT MET")</f>
        <v>MET</v>
      </c>
      <c r="U23" s="18" t="str">
        <f aca="false">IF(S23&gt;=2/3,"MET","NOT MET")</f>
        <v>MET</v>
      </c>
      <c r="V23" s="18" t="str">
        <f aca="false">IF(AND(T23="MET",U23="MET"),"ACCEPTS","REJECTS")</f>
        <v>ACCEPTS</v>
      </c>
      <c r="W23" s="18" t="str">
        <f aca="false">IF(V23=V$15,"No change","RESULT CHANGES")</f>
        <v>No change</v>
      </c>
      <c r="X23" s="18" t="s">
        <v>679</v>
      </c>
    </row>
    <row r="24" customFormat="false" ht="41.75" hidden="false" customHeight="false" outlineLevel="0" collapsed="false">
      <c r="A24" s="18" t="s">
        <v>680</v>
      </c>
      <c r="B24" s="18" t="n">
        <v>4</v>
      </c>
      <c r="C24" s="18" t="s">
        <v>681</v>
      </c>
      <c r="D24" s="28" t="n">
        <f aca="false">Summary!E11</f>
        <v>209</v>
      </c>
      <c r="E24" s="24" t="n">
        <f aca="false">Summary!E12</f>
        <v>24381400</v>
      </c>
      <c r="F24" s="28" t="n">
        <f aca="false">Summary!E13</f>
        <v>71</v>
      </c>
      <c r="G24" s="24" t="n">
        <f aca="false">Summary!E14</f>
        <v>9081600</v>
      </c>
      <c r="H24" s="27" t="n">
        <v>-5</v>
      </c>
      <c r="I24" s="19" t="n">
        <v>-2123000</v>
      </c>
      <c r="J24" s="27" t="n">
        <v>7</v>
      </c>
      <c r="K24" s="19" t="n">
        <v>890000</v>
      </c>
      <c r="L24" s="29" t="n">
        <f aca="false">D24+H24</f>
        <v>204</v>
      </c>
      <c r="M24" s="25" t="n">
        <f aca="false">E24+I24</f>
        <v>22258400</v>
      </c>
      <c r="N24" s="29" t="n">
        <f aca="false">F24+J24</f>
        <v>78</v>
      </c>
      <c r="O24" s="25" t="n">
        <f aca="false">G24+K24</f>
        <v>9971600</v>
      </c>
      <c r="P24" s="29" t="n">
        <f aca="false">L24+N24</f>
        <v>282</v>
      </c>
      <c r="Q24" s="25" t="n">
        <f aca="false">M24+O24</f>
        <v>32230000</v>
      </c>
      <c r="R24" s="31" t="n">
        <f aca="false">L24/P24</f>
        <v>0.723404255319149</v>
      </c>
      <c r="S24" s="31" t="n">
        <f aca="false">M24/Q24</f>
        <v>0.690611231771641</v>
      </c>
      <c r="T24" s="18" t="str">
        <f aca="false">IF(R24&gt;0.5,"MET","NOT MET")</f>
        <v>MET</v>
      </c>
      <c r="U24" s="18" t="str">
        <f aca="false">IF(S24&gt;=2/3,"MET","NOT MET")</f>
        <v>MET</v>
      </c>
      <c r="V24" s="18" t="str">
        <f aca="false">IF(AND(T24="MET",U24="MET"),"ACCEPTS","REJECTS")</f>
        <v>ACCEPTS</v>
      </c>
      <c r="W24" s="18" t="str">
        <f aca="false">IF(V24=V$15,"No change","RESULT CHANGES")</f>
        <v>No change</v>
      </c>
      <c r="X24" s="18" t="s">
        <v>682</v>
      </c>
    </row>
    <row r="25" customFormat="false" ht="15" hidden="false" customHeight="false" outlineLevel="0" collapsed="false">
      <c r="A25" s="18" t="s">
        <v>683</v>
      </c>
      <c r="B25" s="18" t="n">
        <v>5</v>
      </c>
      <c r="C25" s="18" t="s">
        <v>628</v>
      </c>
      <c r="D25" s="28" t="n">
        <f aca="false">Summary!F11</f>
        <v>1</v>
      </c>
      <c r="E25" s="24" t="n">
        <f aca="false">Summary!F12</f>
        <v>215000</v>
      </c>
      <c r="F25" s="28" t="n">
        <f aca="false">Summary!F13</f>
        <v>5</v>
      </c>
      <c r="G25" s="24" t="n">
        <f aca="false">Summary!F14</f>
        <v>1680000</v>
      </c>
      <c r="H25" s="27" t="n">
        <v>0</v>
      </c>
      <c r="I25" s="19" t="n">
        <v>0</v>
      </c>
      <c r="J25" s="27" t="n">
        <v>0</v>
      </c>
      <c r="K25" s="19" t="n">
        <v>0</v>
      </c>
      <c r="L25" s="29" t="n">
        <f aca="false">D25+H25</f>
        <v>1</v>
      </c>
      <c r="M25" s="25" t="n">
        <f aca="false">E25+I25</f>
        <v>215000</v>
      </c>
      <c r="N25" s="29" t="n">
        <f aca="false">F25+J25</f>
        <v>5</v>
      </c>
      <c r="O25" s="25" t="n">
        <f aca="false">G25+K25</f>
        <v>1680000</v>
      </c>
      <c r="P25" s="29" t="n">
        <f aca="false">L25+N25</f>
        <v>6</v>
      </c>
      <c r="Q25" s="25" t="n">
        <f aca="false">M25+O25</f>
        <v>1895000</v>
      </c>
      <c r="R25" s="31" t="n">
        <f aca="false">L25/P25</f>
        <v>0.166666666666667</v>
      </c>
      <c r="S25" s="31" t="n">
        <f aca="false">M25/Q25</f>
        <v>0.113456464379947</v>
      </c>
      <c r="T25" s="18" t="str">
        <f aca="false">IF(R25&gt;0.5,"MET","NOT MET")</f>
        <v>NOT MET</v>
      </c>
      <c r="U25" s="18" t="str">
        <f aca="false">IF(S25&gt;=2/3,"MET","NOT MET")</f>
        <v>NOT MET</v>
      </c>
      <c r="V25" s="18" t="str">
        <f aca="false">IF(AND(T25="MET",U25="MET"),"ACCEPTS","REJECTS")</f>
        <v>REJECTS</v>
      </c>
      <c r="W25" s="18" t="str">
        <f aca="false">IF(V25=V$25,"No change","RESULT CHANGES")</f>
        <v>No change</v>
      </c>
      <c r="X25" s="18" t="s">
        <v>21</v>
      </c>
    </row>
    <row r="26" customFormat="false" ht="15" hidden="false" customHeight="false" outlineLevel="0" collapsed="false">
      <c r="A26" s="18" t="s">
        <v>684</v>
      </c>
      <c r="B26" s="18" t="n">
        <v>5</v>
      </c>
      <c r="C26" s="18" t="s">
        <v>685</v>
      </c>
      <c r="D26" s="28" t="n">
        <f aca="false">Summary!F11</f>
        <v>1</v>
      </c>
      <c r="E26" s="24" t="n">
        <f aca="false">Summary!F12</f>
        <v>215000</v>
      </c>
      <c r="F26" s="28" t="n">
        <f aca="false">Summary!F13</f>
        <v>5</v>
      </c>
      <c r="G26" s="24" t="n">
        <f aca="false">Summary!F14</f>
        <v>1680000</v>
      </c>
      <c r="H26" s="27" t="n">
        <v>2</v>
      </c>
      <c r="I26" s="19" t="n">
        <v>250000</v>
      </c>
      <c r="J26" s="27" t="n">
        <v>0</v>
      </c>
      <c r="K26" s="19" t="n">
        <v>0</v>
      </c>
      <c r="L26" s="29" t="n">
        <f aca="false">D26+H26</f>
        <v>3</v>
      </c>
      <c r="M26" s="25" t="n">
        <f aca="false">E26+I26</f>
        <v>465000</v>
      </c>
      <c r="N26" s="29" t="n">
        <f aca="false">F26+J26</f>
        <v>5</v>
      </c>
      <c r="O26" s="25" t="n">
        <f aca="false">G26+K26</f>
        <v>1680000</v>
      </c>
      <c r="P26" s="29" t="n">
        <f aca="false">L26+N26</f>
        <v>8</v>
      </c>
      <c r="Q26" s="25" t="n">
        <f aca="false">M26+O26</f>
        <v>2145000</v>
      </c>
      <c r="R26" s="31" t="n">
        <f aca="false">L26/P26</f>
        <v>0.375</v>
      </c>
      <c r="S26" s="31" t="n">
        <f aca="false">M26/Q26</f>
        <v>0.216783216783217</v>
      </c>
      <c r="T26" s="18" t="str">
        <f aca="false">IF(R26&gt;0.5,"MET","NOT MET")</f>
        <v>NOT MET</v>
      </c>
      <c r="U26" s="18" t="str">
        <f aca="false">IF(S26&gt;=2/3,"MET","NOT MET")</f>
        <v>NOT MET</v>
      </c>
      <c r="V26" s="18" t="str">
        <f aca="false">IF(AND(T26="MET",U26="MET"),"ACCEPTS","REJECTS")</f>
        <v>REJECTS</v>
      </c>
      <c r="W26" s="18" t="str">
        <f aca="false">IF(V26=V$25,"No change","RESULT CHANGES")</f>
        <v>No change</v>
      </c>
      <c r="X26" s="18" t="s">
        <v>650</v>
      </c>
    </row>
    <row r="28" customFormat="false" ht="15" hidden="false" customHeight="false" outlineLevel="0" collapsed="false">
      <c r="A28" s="35" t="s">
        <v>686</v>
      </c>
      <c r="B28" s="36"/>
      <c r="C28" s="36"/>
      <c r="D28" s="36"/>
      <c r="E28" s="36"/>
      <c r="F28" s="36"/>
      <c r="G28" s="36"/>
      <c r="H28" s="36"/>
      <c r="I28" s="36"/>
      <c r="J28" s="36"/>
      <c r="K28" s="36"/>
      <c r="L28" s="36"/>
      <c r="M28" s="36"/>
      <c r="N28" s="36"/>
      <c r="O28" s="36"/>
      <c r="P28" s="36"/>
      <c r="Q28" s="36"/>
      <c r="R28" s="36"/>
      <c r="S28" s="36"/>
      <c r="T28" s="36"/>
      <c r="U28" s="36"/>
      <c r="V28" s="36"/>
      <c r="W28" s="36"/>
      <c r="X28" s="36"/>
    </row>
    <row r="29" customFormat="false" ht="15" hidden="false" customHeight="false" outlineLevel="0" collapsed="false">
      <c r="A29" s="3"/>
      <c r="B29" s="3"/>
      <c r="C29" s="3" t="s">
        <v>687</v>
      </c>
      <c r="D29" s="3" t="s">
        <v>5</v>
      </c>
      <c r="E29" s="3" t="s">
        <v>6</v>
      </c>
      <c r="F29" s="3" t="s">
        <v>7</v>
      </c>
      <c r="G29" s="3" t="s">
        <v>8</v>
      </c>
    </row>
    <row r="30" customFormat="false" ht="28.35" hidden="false" customHeight="false" outlineLevel="0" collapsed="false">
      <c r="C30" s="6" t="s">
        <v>688</v>
      </c>
      <c r="D30" s="37" t="n">
        <f aca="false">3*Summary!C12-2*Summary!C27</f>
        <v>248920000</v>
      </c>
      <c r="E30" s="37" t="n">
        <f aca="false">3*Summary!D12-2*Summary!D27</f>
        <v>-94990000</v>
      </c>
      <c r="F30" s="37" t="n">
        <f aca="false">3*Summary!E12-2*Summary!E27</f>
        <v>6218200</v>
      </c>
      <c r="G30" s="37" t="n">
        <f aca="false">3*Summary!F12-2*Summary!F27</f>
        <v>-3145000</v>
      </c>
    </row>
    <row r="31" customFormat="false" ht="28.35" hidden="false" customHeight="false" outlineLevel="0" collapsed="false">
      <c r="C31" s="6" t="s">
        <v>689</v>
      </c>
      <c r="D31" s="37" t="n">
        <f aca="false">1.5*Summary!C12-Summary!C27</f>
        <v>124460000</v>
      </c>
      <c r="E31" s="37" t="n">
        <f aca="false">1.5*Summary!D12-Summary!D27</f>
        <v>-47495000</v>
      </c>
      <c r="F31" s="37" t="n">
        <f aca="false">1.5*Summary!E12-Summary!E27</f>
        <v>3109100</v>
      </c>
      <c r="G31" s="37" t="n">
        <f aca="false">1.5*Summary!F12-Summary!F27</f>
        <v>-1572500</v>
      </c>
    </row>
    <row r="32" customFormat="false" ht="28.35" hidden="false" customHeight="false" outlineLevel="0" collapsed="false">
      <c r="C32" s="6" t="s">
        <v>690</v>
      </c>
      <c r="D32" s="37" t="n">
        <f aca="false">Summary!C12-2/3*Summary!C27</f>
        <v>82973333.3333333</v>
      </c>
      <c r="E32" s="37" t="n">
        <f aca="false">Summary!D12-2/3*Summary!D27</f>
        <v>-31663333.3333333</v>
      </c>
      <c r="F32" s="37" t="n">
        <f aca="false">Summary!E12-2/3*Summary!E27</f>
        <v>2072733.33333334</v>
      </c>
      <c r="G32" s="37" t="n">
        <f aca="false">Summary!F12-2/3*Summary!F27</f>
        <v>-1048333.33333333</v>
      </c>
    </row>
    <row r="33" customFormat="false" ht="28.35" hidden="false" customHeight="false" outlineLevel="0" collapsed="false">
      <c r="C33" s="6" t="s">
        <v>691</v>
      </c>
      <c r="D33" s="38" t="n">
        <f aca="false">CEILING((Summary!C11-Summary!C13)/2,1)-1</f>
        <v>7</v>
      </c>
      <c r="E33" s="38" t="n">
        <f aca="false">CEILING((Summary!D11-Summary!D13)/2,1)-1</f>
        <v>-2</v>
      </c>
      <c r="F33" s="38" t="n">
        <f aca="false">CEILING((Summary!E11-Summary!E13)/2,1)-1</f>
        <v>68</v>
      </c>
      <c r="G33" s="38" t="n">
        <f aca="false">CEILING((Summary!F11-Summary!F13)/2,1)-1</f>
        <v>-3</v>
      </c>
    </row>
    <row r="34" customFormat="false" ht="28.35" hidden="false" customHeight="false" outlineLevel="0" collapsed="false">
      <c r="C34" s="6" t="s">
        <v>692</v>
      </c>
      <c r="D34" s="38" t="n">
        <f aca="false">Summary!C11-Summary!C13-1</f>
        <v>15</v>
      </c>
      <c r="E34" s="38" t="n">
        <f aca="false">Summary!D11-Summary!D13-1</f>
        <v>-3</v>
      </c>
      <c r="F34" s="38" t="n">
        <f aca="false">Summary!E11-Summary!E13-1</f>
        <v>137</v>
      </c>
      <c r="G34" s="38" t="n">
        <f aca="false">Summary!F11-Summary!F13-1</f>
        <v>-5</v>
      </c>
    </row>
    <row r="35" customFormat="false" ht="31.5" hidden="false" customHeight="true" outlineLevel="0" collapsed="false">
      <c r="C35" s="2" t="s">
        <v>693</v>
      </c>
      <c r="D35" s="2"/>
      <c r="E35" s="2"/>
      <c r="F35" s="2"/>
      <c r="G35" s="2"/>
      <c r="H35" s="2"/>
      <c r="I35" s="2"/>
      <c r="J35" s="2"/>
      <c r="K35" s="2"/>
      <c r="L35" s="2"/>
    </row>
  </sheetData>
  <mergeCells count="2">
    <mergeCell ref="A2:X2"/>
    <mergeCell ref="C35:L35"/>
  </mergeCells>
  <conditionalFormatting sqref="T5:V26">
    <cfRule type="expression" priority="2" aboveAverage="0" equalAverage="0" bottom="0" percent="0" rank="0" text="" dxfId="0">
      <formula>ISNUMBER(SEARCH("FAIL",T5))</formula>
    </cfRule>
    <cfRule type="expression" priority="3" aboveAverage="0" equalAverage="0" bottom="0" percent="0" rank="0" text="" dxfId="0">
      <formula>ISNUMBER(SEARCH("DISCREP",T5))</formula>
    </cfRule>
    <cfRule type="expression" priority="4" aboveAverage="0" equalAverage="0" bottom="0" percent="0" rank="0" text="" dxfId="1">
      <formula>ISNUMBER(SEARCH("NOT MET",T5))</formula>
    </cfRule>
    <cfRule type="expression" priority="5" aboveAverage="0" equalAverage="0" bottom="0" percent="0" rank="0" text="" dxfId="1">
      <formula>ISNUMBER(SEARCH("REJECTS",T5))</formula>
    </cfRule>
    <cfRule type="expression" priority="6" aboveAverage="0" equalAverage="0" bottom="0" percent="0" rank="0" text="" dxfId="2">
      <formula>ISNUMBER(SEARCH("PASS",T5))</formula>
    </cfRule>
    <cfRule type="expression" priority="7" aboveAverage="0" equalAverage="0" bottom="0" percent="0" rank="0" text="" dxfId="2">
      <formula>ISNUMBER(SEARCH("TIES",T5))</formula>
    </cfRule>
  </conditionalFormatting>
  <conditionalFormatting sqref="W5:W26">
    <cfRule type="expression" priority="8" aboveAverage="0" equalAverage="0" bottom="0" percent="0" rank="0" text="" dxfId="0">
      <formula>ISNUMBER(SEARCH("CHANGES",W5))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30"/>
  </cols>
  <sheetData>
    <row r="1" customFormat="false" ht="17.35" hidden="false" customHeight="false" outlineLevel="0" collapsed="false">
      <c r="A1" s="1" t="s">
        <v>694</v>
      </c>
    </row>
    <row r="3" customFormat="false" ht="75" hidden="false" customHeight="true" outlineLevel="0" collapsed="false">
      <c r="A3" s="17" t="s">
        <v>695</v>
      </c>
      <c r="B3" s="6" t="s">
        <v>696</v>
      </c>
    </row>
    <row r="4" customFormat="false" ht="75" hidden="false" customHeight="true" outlineLevel="0" collapsed="false">
      <c r="A4" s="17" t="s">
        <v>697</v>
      </c>
      <c r="B4" s="6" t="s">
        <v>698</v>
      </c>
    </row>
    <row r="5" customFormat="false" ht="75" hidden="false" customHeight="true" outlineLevel="0" collapsed="false">
      <c r="A5" s="17" t="s">
        <v>699</v>
      </c>
      <c r="B5" s="6" t="s">
        <v>700</v>
      </c>
    </row>
    <row r="6" customFormat="false" ht="75" hidden="false" customHeight="true" outlineLevel="0" collapsed="false">
      <c r="A6" s="17" t="s">
        <v>701</v>
      </c>
      <c r="B6" s="6" t="s">
        <v>702</v>
      </c>
    </row>
    <row r="7" customFormat="false" ht="75" hidden="false" customHeight="true" outlineLevel="0" collapsed="false">
      <c r="A7" s="17" t="s">
        <v>703</v>
      </c>
      <c r="B7" s="6" t="s">
        <v>704</v>
      </c>
    </row>
    <row r="8" customFormat="false" ht="75" hidden="false" customHeight="true" outlineLevel="0" collapsed="false">
      <c r="A8" s="17" t="s">
        <v>705</v>
      </c>
      <c r="B8" s="6" t="s">
        <v>706</v>
      </c>
    </row>
    <row r="9" customFormat="false" ht="75" hidden="false" customHeight="true" outlineLevel="0" collapsed="false">
      <c r="A9" s="17" t="s">
        <v>707</v>
      </c>
      <c r="B9" s="6" t="s">
        <v>708</v>
      </c>
    </row>
    <row r="10" customFormat="false" ht="75" hidden="false" customHeight="true" outlineLevel="0" collapsed="false">
      <c r="A10" s="17" t="s">
        <v>709</v>
      </c>
      <c r="B10" s="6" t="s">
        <v>710</v>
      </c>
    </row>
    <row r="11" customFormat="false" ht="75" hidden="false" customHeight="true" outlineLevel="0" collapsed="false">
      <c r="A11" s="17" t="s">
        <v>711</v>
      </c>
      <c r="B11" s="6" t="s">
        <v>712</v>
      </c>
    </row>
    <row r="12" customFormat="false" ht="75" hidden="false" customHeight="true" outlineLevel="0" collapsed="false">
      <c r="A12" s="17" t="s">
        <v>713</v>
      </c>
      <c r="B12" s="6" t="s">
        <v>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2026-10-16T02:38:08Z</dcterms:created>
  <dc:creator>openpyxl</dc:creator>
  <dc:description/>
  <dc:language>en-US</dc:language>
  <cp:lastModifiedBy/>
  <dcterms:modified xsi:type="dcterms:W3CDTF">2026-10-16T02:38:08Z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